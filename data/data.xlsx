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clugston/Desktop/eee577-project/"/>
    </mc:Choice>
  </mc:AlternateContent>
  <xr:revisionPtr revIDLastSave="0" documentId="13_ncr:1_{3F7E83CA-BFC6-594D-B77F-990412ABAFF9}" xr6:coauthVersionLast="47" xr6:coauthVersionMax="47" xr10:uidLastSave="{00000000-0000-0000-0000-000000000000}"/>
  <bookViews>
    <workbookView xWindow="-38400" yWindow="2140" windowWidth="38400" windowHeight="21600" activeTab="1" xr2:uid="{AC43F3FE-13C1-D941-A423-67DE00766DB2}"/>
  </bookViews>
  <sheets>
    <sheet name="branch" sheetId="1" r:id="rId1"/>
    <sheet name="new_branch" sheetId="4" r:id="rId2"/>
    <sheet name="bus" sheetId="2" r:id="rId3"/>
    <sheet name="gen" sheetId="5" r:id="rId4"/>
  </sheets>
  <externalReferences>
    <externalReference r:id="rId5"/>
  </externalReferences>
  <definedNames>
    <definedName name="_xlnm._FilterDatabase" localSheetId="0" hidden="1">branch!$A$1:$N$121</definedName>
    <definedName name="_xlnm._FilterDatabase" localSheetId="2" hidden="1">bus!$A$1:$K$74</definedName>
    <definedName name="_xlnm._FilterDatabase" localSheetId="3" hidden="1">gen!$A$1:$J$298</definedName>
    <definedName name="_xlnm._FilterDatabase" localSheetId="1" hidden="1">new_branch!$A$1:$S$228</definedName>
    <definedName name="branch" localSheetId="0">branch!$A$1:$N$121</definedName>
    <definedName name="branch" localSheetId="1">new_branch!$A$1:$N$228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4" l="1"/>
  <c r="K4" i="2"/>
  <c r="S181" i="4"/>
  <c r="S179" i="4"/>
  <c r="S178" i="4"/>
  <c r="S176" i="4"/>
  <c r="S175" i="4"/>
  <c r="S173" i="4"/>
  <c r="S172" i="4"/>
  <c r="S164" i="4"/>
  <c r="S163" i="4"/>
  <c r="S110" i="4"/>
  <c r="S109" i="4"/>
  <c r="S107" i="4"/>
  <c r="S106" i="4"/>
  <c r="S104" i="4"/>
  <c r="S103" i="4"/>
  <c r="S101" i="4"/>
  <c r="S100" i="4"/>
  <c r="S92" i="4"/>
  <c r="S91" i="4"/>
  <c r="S35" i="4"/>
  <c r="S34" i="4"/>
  <c r="S32" i="4"/>
  <c r="S31" i="4"/>
  <c r="S29" i="4"/>
  <c r="S28" i="4"/>
  <c r="S26" i="4"/>
  <c r="S25" i="4"/>
  <c r="S23" i="4"/>
  <c r="S22" i="4"/>
  <c r="S14" i="4"/>
  <c r="S13" i="4"/>
  <c r="S182" i="4"/>
  <c r="O20" i="4"/>
  <c r="P20" i="4" s="1"/>
  <c r="Q20" i="4" s="1"/>
  <c r="K2" i="2"/>
  <c r="O228" i="4"/>
  <c r="P228" i="4" s="1"/>
  <c r="Q228" i="4" s="1"/>
  <c r="S227" i="4"/>
  <c r="O227" i="4"/>
  <c r="P227" i="4" s="1"/>
  <c r="Q227" i="4" s="1"/>
  <c r="S226" i="4"/>
  <c r="O226" i="4"/>
  <c r="P226" i="4" s="1"/>
  <c r="Q226" i="4" s="1"/>
  <c r="O225" i="4"/>
  <c r="P225" i="4" s="1"/>
  <c r="Q225" i="4" s="1"/>
  <c r="O224" i="4"/>
  <c r="P224" i="4" s="1"/>
  <c r="Q224" i="4" s="1"/>
  <c r="R225" i="4" s="1"/>
  <c r="O223" i="4"/>
  <c r="P223" i="4" s="1"/>
  <c r="Q223" i="4" s="1"/>
  <c r="R224" i="4" s="1"/>
  <c r="O222" i="4"/>
  <c r="P222" i="4" s="1"/>
  <c r="Q222" i="4" s="1"/>
  <c r="R223" i="4" s="1"/>
  <c r="O221" i="4"/>
  <c r="P221" i="4" s="1"/>
  <c r="Q221" i="4" s="1"/>
  <c r="R222" i="4" s="1"/>
  <c r="O220" i="4"/>
  <c r="P220" i="4" s="1"/>
  <c r="Q220" i="4" s="1"/>
  <c r="O219" i="4"/>
  <c r="P219" i="4" s="1"/>
  <c r="Q219" i="4" s="1"/>
  <c r="R220" i="4" s="1"/>
  <c r="S220" i="4" s="1"/>
  <c r="O218" i="4"/>
  <c r="P218" i="4" s="1"/>
  <c r="Q218" i="4" s="1"/>
  <c r="O217" i="4"/>
  <c r="P217" i="4" s="1"/>
  <c r="Q217" i="4" s="1"/>
  <c r="R218" i="4" s="1"/>
  <c r="S218" i="4" s="1"/>
  <c r="S216" i="4"/>
  <c r="O216" i="4"/>
  <c r="P216" i="4" s="1"/>
  <c r="Q216" i="4" s="1"/>
  <c r="S215" i="4"/>
  <c r="O215" i="4"/>
  <c r="P215" i="4" s="1"/>
  <c r="Q215" i="4" s="1"/>
  <c r="O214" i="4"/>
  <c r="P214" i="4" s="1"/>
  <c r="Q214" i="4" s="1"/>
  <c r="S213" i="4"/>
  <c r="O213" i="4"/>
  <c r="P213" i="4" s="1"/>
  <c r="Q213" i="4" s="1"/>
  <c r="S212" i="4"/>
  <c r="O212" i="4"/>
  <c r="P212" i="4" s="1"/>
  <c r="Q212" i="4" s="1"/>
  <c r="O211" i="4"/>
  <c r="P211" i="4" s="1"/>
  <c r="Q211" i="4" s="1"/>
  <c r="O210" i="4"/>
  <c r="P210" i="4" s="1"/>
  <c r="Q210" i="4" s="1"/>
  <c r="R211" i="4" s="1"/>
  <c r="O209" i="4"/>
  <c r="P209" i="4" s="1"/>
  <c r="Q209" i="4" s="1"/>
  <c r="R210" i="4" s="1"/>
  <c r="O208" i="4"/>
  <c r="P208" i="4" s="1"/>
  <c r="Q208" i="4" s="1"/>
  <c r="R209" i="4" s="1"/>
  <c r="O207" i="4"/>
  <c r="P207" i="4" s="1"/>
  <c r="Q207" i="4" s="1"/>
  <c r="R208" i="4" s="1"/>
  <c r="O206" i="4"/>
  <c r="P206" i="4" s="1"/>
  <c r="Q206" i="4" s="1"/>
  <c r="O205" i="4"/>
  <c r="P205" i="4" s="1"/>
  <c r="Q205" i="4" s="1"/>
  <c r="R206" i="4" s="1"/>
  <c r="S206" i="4" s="1"/>
  <c r="O204" i="4"/>
  <c r="P204" i="4" s="1"/>
  <c r="Q204" i="4" s="1"/>
  <c r="O203" i="4"/>
  <c r="P203" i="4" s="1"/>
  <c r="Q203" i="4" s="1"/>
  <c r="R204" i="4" s="1"/>
  <c r="S204" i="4" s="1"/>
  <c r="O202" i="4"/>
  <c r="P202" i="4" s="1"/>
  <c r="Q202" i="4" s="1"/>
  <c r="O201" i="4"/>
  <c r="P201" i="4" s="1"/>
  <c r="Q201" i="4" s="1"/>
  <c r="R202" i="4" s="1"/>
  <c r="S202" i="4" s="1"/>
  <c r="O200" i="4"/>
  <c r="P200" i="4" s="1"/>
  <c r="Q200" i="4" s="1"/>
  <c r="O199" i="4"/>
  <c r="P199" i="4" s="1"/>
  <c r="Q199" i="4" s="1"/>
  <c r="R200" i="4" s="1"/>
  <c r="S200" i="4" s="1"/>
  <c r="O198" i="4"/>
  <c r="P198" i="4" s="1"/>
  <c r="Q198" i="4" s="1"/>
  <c r="O197" i="4"/>
  <c r="P197" i="4" s="1"/>
  <c r="Q197" i="4" s="1"/>
  <c r="R198" i="4" s="1"/>
  <c r="S198" i="4" s="1"/>
  <c r="O196" i="4"/>
  <c r="P196" i="4" s="1"/>
  <c r="Q196" i="4" s="1"/>
  <c r="O195" i="4"/>
  <c r="P195" i="4" s="1"/>
  <c r="Q195" i="4" s="1"/>
  <c r="R196" i="4" s="1"/>
  <c r="S196" i="4" s="1"/>
  <c r="O194" i="4"/>
  <c r="P194" i="4" s="1"/>
  <c r="Q194" i="4" s="1"/>
  <c r="R195" i="4" s="1"/>
  <c r="O193" i="4"/>
  <c r="P193" i="4" s="1"/>
  <c r="Q193" i="4" s="1"/>
  <c r="R194" i="4" s="1"/>
  <c r="O192" i="4"/>
  <c r="P192" i="4" s="1"/>
  <c r="Q192" i="4" s="1"/>
  <c r="R193" i="4" s="1"/>
  <c r="O191" i="4"/>
  <c r="P191" i="4" s="1"/>
  <c r="Q191" i="4" s="1"/>
  <c r="R192" i="4" s="1"/>
  <c r="O190" i="4"/>
  <c r="P190" i="4" s="1"/>
  <c r="Q190" i="4" s="1"/>
  <c r="O189" i="4"/>
  <c r="P189" i="4" s="1"/>
  <c r="Q189" i="4" s="1"/>
  <c r="R190" i="4" s="1"/>
  <c r="S190" i="4" s="1"/>
  <c r="O188" i="4"/>
  <c r="P188" i="4" s="1"/>
  <c r="Q188" i="4" s="1"/>
  <c r="O187" i="4"/>
  <c r="P187" i="4" s="1"/>
  <c r="Q187" i="4" s="1"/>
  <c r="R188" i="4" s="1"/>
  <c r="O186" i="4"/>
  <c r="P186" i="4" s="1"/>
  <c r="Q186" i="4" s="1"/>
  <c r="O185" i="4"/>
  <c r="P185" i="4" s="1"/>
  <c r="Q185" i="4" s="1"/>
  <c r="R186" i="4" s="1"/>
  <c r="S186" i="4" s="1"/>
  <c r="O184" i="4"/>
  <c r="P184" i="4" s="1"/>
  <c r="Q184" i="4" s="1"/>
  <c r="O183" i="4"/>
  <c r="P183" i="4" s="1"/>
  <c r="Q183" i="4" s="1"/>
  <c r="R184" i="4" s="1"/>
  <c r="O182" i="4"/>
  <c r="P182" i="4" s="1"/>
  <c r="Q182" i="4" s="1"/>
  <c r="O181" i="4"/>
  <c r="P181" i="4" s="1"/>
  <c r="Q181" i="4" s="1"/>
  <c r="O180" i="4"/>
  <c r="P180" i="4" s="1"/>
  <c r="Q180" i="4" s="1"/>
  <c r="O179" i="4"/>
  <c r="P179" i="4" s="1"/>
  <c r="Q179" i="4" s="1"/>
  <c r="O178" i="4"/>
  <c r="P178" i="4" s="1"/>
  <c r="Q178" i="4" s="1"/>
  <c r="O177" i="4"/>
  <c r="P177" i="4" s="1"/>
  <c r="Q177" i="4" s="1"/>
  <c r="O176" i="4"/>
  <c r="P176" i="4" s="1"/>
  <c r="Q176" i="4" s="1"/>
  <c r="O175" i="4"/>
  <c r="P175" i="4" s="1"/>
  <c r="Q175" i="4" s="1"/>
  <c r="O174" i="4"/>
  <c r="P174" i="4" s="1"/>
  <c r="Q174" i="4" s="1"/>
  <c r="O173" i="4"/>
  <c r="P173" i="4" s="1"/>
  <c r="Q173" i="4" s="1"/>
  <c r="O172" i="4"/>
  <c r="P172" i="4" s="1"/>
  <c r="Q172" i="4" s="1"/>
  <c r="O171" i="4"/>
  <c r="P171" i="4" s="1"/>
  <c r="Q171" i="4" s="1"/>
  <c r="O170" i="4"/>
  <c r="P170" i="4" s="1"/>
  <c r="Q170" i="4" s="1"/>
  <c r="O169" i="4"/>
  <c r="P169" i="4" s="1"/>
  <c r="Q169" i="4" s="1"/>
  <c r="R170" i="4" s="1"/>
  <c r="S170" i="4" s="1"/>
  <c r="O168" i="4"/>
  <c r="P168" i="4" s="1"/>
  <c r="Q168" i="4" s="1"/>
  <c r="O167" i="4"/>
  <c r="P167" i="4" s="1"/>
  <c r="Q167" i="4" s="1"/>
  <c r="R168" i="4" s="1"/>
  <c r="S168" i="4" s="1"/>
  <c r="O166" i="4"/>
  <c r="P166" i="4" s="1"/>
  <c r="Q166" i="4" s="1"/>
  <c r="O165" i="4"/>
  <c r="P165" i="4" s="1"/>
  <c r="Q165" i="4" s="1"/>
  <c r="R166" i="4" s="1"/>
  <c r="S166" i="4" s="1"/>
  <c r="O164" i="4"/>
  <c r="P164" i="4" s="1"/>
  <c r="Q164" i="4" s="1"/>
  <c r="O163" i="4"/>
  <c r="P163" i="4" s="1"/>
  <c r="Q163" i="4" s="1"/>
  <c r="O162" i="4"/>
  <c r="P162" i="4" s="1"/>
  <c r="Q162" i="4" s="1"/>
  <c r="O161" i="4"/>
  <c r="P161" i="4" s="1"/>
  <c r="Q161" i="4" s="1"/>
  <c r="O160" i="4"/>
  <c r="P160" i="4" s="1"/>
  <c r="Q160" i="4" s="1"/>
  <c r="R161" i="4" s="1"/>
  <c r="S161" i="4" s="1"/>
  <c r="O159" i="4"/>
  <c r="P159" i="4" s="1"/>
  <c r="Q159" i="4" s="1"/>
  <c r="O158" i="4"/>
  <c r="P158" i="4" s="1"/>
  <c r="Q158" i="4" s="1"/>
  <c r="R159" i="4" s="1"/>
  <c r="S159" i="4" s="1"/>
  <c r="O157" i="4"/>
  <c r="P157" i="4" s="1"/>
  <c r="Q157" i="4" s="1"/>
  <c r="O156" i="4"/>
  <c r="P156" i="4" s="1"/>
  <c r="Q156" i="4" s="1"/>
  <c r="R157" i="4" s="1"/>
  <c r="S157" i="4" s="1"/>
  <c r="O155" i="4"/>
  <c r="P155" i="4" s="1"/>
  <c r="Q155" i="4" s="1"/>
  <c r="O154" i="4"/>
  <c r="P154" i="4" s="1"/>
  <c r="Q154" i="4" s="1"/>
  <c r="R155" i="4" s="1"/>
  <c r="S155" i="4" s="1"/>
  <c r="O153" i="4"/>
  <c r="P153" i="4" s="1"/>
  <c r="Q153" i="4" s="1"/>
  <c r="O152" i="4"/>
  <c r="P152" i="4" s="1"/>
  <c r="Q152" i="4" s="1"/>
  <c r="R153" i="4" s="1"/>
  <c r="S153" i="4" s="1"/>
  <c r="O151" i="4"/>
  <c r="P151" i="4" s="1"/>
  <c r="Q151" i="4" s="1"/>
  <c r="R152" i="4" s="1"/>
  <c r="O150" i="4"/>
  <c r="P150" i="4" s="1"/>
  <c r="Q150" i="4" s="1"/>
  <c r="R151" i="4" s="1"/>
  <c r="O149" i="4"/>
  <c r="P149" i="4" s="1"/>
  <c r="Q149" i="4" s="1"/>
  <c r="R150" i="4" s="1"/>
  <c r="O148" i="4"/>
  <c r="P148" i="4" s="1"/>
  <c r="Q148" i="4" s="1"/>
  <c r="O147" i="4"/>
  <c r="P147" i="4" s="1"/>
  <c r="Q147" i="4" s="1"/>
  <c r="R148" i="4" s="1"/>
  <c r="S148" i="4" s="1"/>
  <c r="O146" i="4"/>
  <c r="P146" i="4" s="1"/>
  <c r="Q146" i="4" s="1"/>
  <c r="O145" i="4"/>
  <c r="P145" i="4" s="1"/>
  <c r="Q145" i="4" s="1"/>
  <c r="R146" i="4" s="1"/>
  <c r="S146" i="4" s="1"/>
  <c r="S144" i="4"/>
  <c r="O144" i="4"/>
  <c r="P144" i="4" s="1"/>
  <c r="Q144" i="4" s="1"/>
  <c r="S143" i="4"/>
  <c r="O143" i="4"/>
  <c r="P143" i="4" s="1"/>
  <c r="Q143" i="4" s="1"/>
  <c r="O142" i="4"/>
  <c r="P142" i="4" s="1"/>
  <c r="Q142" i="4" s="1"/>
  <c r="S141" i="4"/>
  <c r="O141" i="4"/>
  <c r="P141" i="4" s="1"/>
  <c r="Q141" i="4" s="1"/>
  <c r="S140" i="4"/>
  <c r="O140" i="4"/>
  <c r="P140" i="4" s="1"/>
  <c r="Q140" i="4" s="1"/>
  <c r="O139" i="4"/>
  <c r="P139" i="4" s="1"/>
  <c r="Q139" i="4" s="1"/>
  <c r="O138" i="4"/>
  <c r="P138" i="4" s="1"/>
  <c r="Q138" i="4" s="1"/>
  <c r="R139" i="4" s="1"/>
  <c r="O137" i="4"/>
  <c r="P137" i="4" s="1"/>
  <c r="Q137" i="4" s="1"/>
  <c r="R138" i="4" s="1"/>
  <c r="O136" i="4"/>
  <c r="P136" i="4" s="1"/>
  <c r="Q136" i="4" s="1"/>
  <c r="R137" i="4" s="1"/>
  <c r="O135" i="4"/>
  <c r="P135" i="4" s="1"/>
  <c r="Q135" i="4" s="1"/>
  <c r="R136" i="4" s="1"/>
  <c r="O134" i="4"/>
  <c r="P134" i="4" s="1"/>
  <c r="Q134" i="4" s="1"/>
  <c r="O133" i="4"/>
  <c r="P133" i="4" s="1"/>
  <c r="Q133" i="4" s="1"/>
  <c r="R134" i="4" s="1"/>
  <c r="S134" i="4" s="1"/>
  <c r="O132" i="4"/>
  <c r="P132" i="4" s="1"/>
  <c r="Q132" i="4" s="1"/>
  <c r="O131" i="4"/>
  <c r="P131" i="4" s="1"/>
  <c r="Q131" i="4" s="1"/>
  <c r="R132" i="4" s="1"/>
  <c r="S132" i="4" s="1"/>
  <c r="O130" i="4"/>
  <c r="P130" i="4" s="1"/>
  <c r="Q130" i="4" s="1"/>
  <c r="O129" i="4"/>
  <c r="P129" i="4" s="1"/>
  <c r="Q129" i="4" s="1"/>
  <c r="R130" i="4" s="1"/>
  <c r="S130" i="4" s="1"/>
  <c r="O128" i="4"/>
  <c r="P128" i="4" s="1"/>
  <c r="Q128" i="4" s="1"/>
  <c r="O127" i="4"/>
  <c r="P127" i="4" s="1"/>
  <c r="Q127" i="4" s="1"/>
  <c r="R128" i="4" s="1"/>
  <c r="S128" i="4" s="1"/>
  <c r="O126" i="4"/>
  <c r="P126" i="4" s="1"/>
  <c r="Q126" i="4" s="1"/>
  <c r="O125" i="4"/>
  <c r="P125" i="4" s="1"/>
  <c r="Q125" i="4" s="1"/>
  <c r="R126" i="4" s="1"/>
  <c r="S126" i="4" s="1"/>
  <c r="O124" i="4"/>
  <c r="P124" i="4" s="1"/>
  <c r="Q124" i="4" s="1"/>
  <c r="O123" i="4"/>
  <c r="P123" i="4" s="1"/>
  <c r="Q123" i="4" s="1"/>
  <c r="R124" i="4" s="1"/>
  <c r="S124" i="4" s="1"/>
  <c r="O122" i="4"/>
  <c r="P122" i="4" s="1"/>
  <c r="Q122" i="4" s="1"/>
  <c r="R123" i="4" s="1"/>
  <c r="O121" i="4"/>
  <c r="P121" i="4" s="1"/>
  <c r="Q121" i="4" s="1"/>
  <c r="R122" i="4" s="1"/>
  <c r="O120" i="4"/>
  <c r="P120" i="4" s="1"/>
  <c r="Q120" i="4" s="1"/>
  <c r="R121" i="4" s="1"/>
  <c r="O119" i="4"/>
  <c r="P119" i="4" s="1"/>
  <c r="Q119" i="4" s="1"/>
  <c r="R120" i="4" s="1"/>
  <c r="O118" i="4"/>
  <c r="P118" i="4" s="1"/>
  <c r="Q118" i="4" s="1"/>
  <c r="O117" i="4"/>
  <c r="P117" i="4" s="1"/>
  <c r="Q117" i="4" s="1"/>
  <c r="R118" i="4" s="1"/>
  <c r="S118" i="4" s="1"/>
  <c r="O116" i="4"/>
  <c r="P116" i="4" s="1"/>
  <c r="Q116" i="4" s="1"/>
  <c r="O115" i="4"/>
  <c r="P115" i="4" s="1"/>
  <c r="Q115" i="4" s="1"/>
  <c r="R116" i="4" s="1"/>
  <c r="S116" i="4" s="1"/>
  <c r="O114" i="4"/>
  <c r="P114" i="4" s="1"/>
  <c r="Q114" i="4" s="1"/>
  <c r="O113" i="4"/>
  <c r="P113" i="4" s="1"/>
  <c r="Q113" i="4" s="1"/>
  <c r="R114" i="4" s="1"/>
  <c r="S114" i="4" s="1"/>
  <c r="O112" i="4"/>
  <c r="P112" i="4" s="1"/>
  <c r="Q112" i="4" s="1"/>
  <c r="O111" i="4"/>
  <c r="P111" i="4" s="1"/>
  <c r="Q111" i="4" s="1"/>
  <c r="R112" i="4" s="1"/>
  <c r="S112" i="4" s="1"/>
  <c r="O110" i="4"/>
  <c r="P110" i="4" s="1"/>
  <c r="Q110" i="4" s="1"/>
  <c r="O109" i="4"/>
  <c r="P109" i="4" s="1"/>
  <c r="Q109" i="4" s="1"/>
  <c r="O108" i="4"/>
  <c r="P108" i="4" s="1"/>
  <c r="Q108" i="4" s="1"/>
  <c r="O107" i="4"/>
  <c r="P107" i="4" s="1"/>
  <c r="Q107" i="4" s="1"/>
  <c r="O106" i="4"/>
  <c r="P106" i="4" s="1"/>
  <c r="Q106" i="4" s="1"/>
  <c r="O105" i="4"/>
  <c r="P105" i="4" s="1"/>
  <c r="Q105" i="4" s="1"/>
  <c r="O104" i="4"/>
  <c r="P104" i="4" s="1"/>
  <c r="Q104" i="4" s="1"/>
  <c r="O103" i="4"/>
  <c r="P103" i="4" s="1"/>
  <c r="Q103" i="4" s="1"/>
  <c r="O102" i="4"/>
  <c r="P102" i="4" s="1"/>
  <c r="Q102" i="4" s="1"/>
  <c r="O101" i="4"/>
  <c r="P101" i="4" s="1"/>
  <c r="Q101" i="4" s="1"/>
  <c r="O100" i="4"/>
  <c r="P100" i="4" s="1"/>
  <c r="Q100" i="4" s="1"/>
  <c r="O99" i="4"/>
  <c r="P99" i="4" s="1"/>
  <c r="Q99" i="4" s="1"/>
  <c r="O98" i="4"/>
  <c r="P98" i="4" s="1"/>
  <c r="Q98" i="4" s="1"/>
  <c r="O97" i="4"/>
  <c r="P97" i="4" s="1"/>
  <c r="Q97" i="4" s="1"/>
  <c r="R98" i="4" s="1"/>
  <c r="S98" i="4" s="1"/>
  <c r="O96" i="4"/>
  <c r="P96" i="4" s="1"/>
  <c r="Q96" i="4" s="1"/>
  <c r="O95" i="4"/>
  <c r="P95" i="4" s="1"/>
  <c r="Q95" i="4" s="1"/>
  <c r="R96" i="4" s="1"/>
  <c r="S96" i="4" s="1"/>
  <c r="O94" i="4"/>
  <c r="P94" i="4" s="1"/>
  <c r="Q94" i="4" s="1"/>
  <c r="O93" i="4"/>
  <c r="P93" i="4" s="1"/>
  <c r="Q93" i="4" s="1"/>
  <c r="R94" i="4" s="1"/>
  <c r="S94" i="4" s="1"/>
  <c r="O92" i="4"/>
  <c r="P92" i="4" s="1"/>
  <c r="Q92" i="4" s="1"/>
  <c r="O91" i="4"/>
  <c r="P91" i="4" s="1"/>
  <c r="Q91" i="4" s="1"/>
  <c r="O90" i="4"/>
  <c r="P90" i="4" s="1"/>
  <c r="Q90" i="4" s="1"/>
  <c r="O89" i="4"/>
  <c r="P89" i="4" s="1"/>
  <c r="Q89" i="4" s="1"/>
  <c r="O88" i="4"/>
  <c r="P88" i="4" s="1"/>
  <c r="Q88" i="4" s="1"/>
  <c r="R89" i="4" s="1"/>
  <c r="S89" i="4" s="1"/>
  <c r="O87" i="4"/>
  <c r="P87" i="4" s="1"/>
  <c r="Q87" i="4" s="1"/>
  <c r="O86" i="4"/>
  <c r="P86" i="4" s="1"/>
  <c r="Q86" i="4" s="1"/>
  <c r="R87" i="4" s="1"/>
  <c r="S87" i="4" s="1"/>
  <c r="O85" i="4"/>
  <c r="P85" i="4" s="1"/>
  <c r="Q85" i="4" s="1"/>
  <c r="R86" i="4" s="1"/>
  <c r="S86" i="4" s="1"/>
  <c r="O84" i="4"/>
  <c r="P84" i="4" s="1"/>
  <c r="Q84" i="4" s="1"/>
  <c r="R85" i="4" s="1"/>
  <c r="S85" i="4" s="1"/>
  <c r="O83" i="4"/>
  <c r="P83" i="4" s="1"/>
  <c r="Q83" i="4" s="1"/>
  <c r="O82" i="4"/>
  <c r="P82" i="4" s="1"/>
  <c r="Q82" i="4" s="1"/>
  <c r="R83" i="4" s="1"/>
  <c r="S83" i="4" s="1"/>
  <c r="O81" i="4"/>
  <c r="P81" i="4" s="1"/>
  <c r="Q81" i="4" s="1"/>
  <c r="O80" i="4"/>
  <c r="P80" i="4" s="1"/>
  <c r="Q80" i="4" s="1"/>
  <c r="R81" i="4" s="1"/>
  <c r="S81" i="4" s="1"/>
  <c r="O79" i="4"/>
  <c r="P79" i="4" s="1"/>
  <c r="Q79" i="4" s="1"/>
  <c r="R80" i="4" s="1"/>
  <c r="O78" i="4"/>
  <c r="P78" i="4" s="1"/>
  <c r="Q78" i="4" s="1"/>
  <c r="R79" i="4" s="1"/>
  <c r="O77" i="4"/>
  <c r="P77" i="4" s="1"/>
  <c r="Q77" i="4" s="1"/>
  <c r="R78" i="4" s="1"/>
  <c r="O76" i="4"/>
  <c r="P76" i="4" s="1"/>
  <c r="Q76" i="4" s="1"/>
  <c r="R77" i="4" s="1"/>
  <c r="O75" i="4"/>
  <c r="P75" i="4" s="1"/>
  <c r="Q75" i="4" s="1"/>
  <c r="O74" i="4"/>
  <c r="P74" i="4" s="1"/>
  <c r="Q74" i="4" s="1"/>
  <c r="R75" i="4" s="1"/>
  <c r="S75" i="4" s="1"/>
  <c r="O73" i="4"/>
  <c r="P73" i="4" s="1"/>
  <c r="Q73" i="4" s="1"/>
  <c r="O72" i="4"/>
  <c r="P72" i="4" s="1"/>
  <c r="Q72" i="4" s="1"/>
  <c r="R73" i="4" s="1"/>
  <c r="S73" i="4" s="1"/>
  <c r="S71" i="4"/>
  <c r="O71" i="4"/>
  <c r="P71" i="4" s="1"/>
  <c r="Q71" i="4" s="1"/>
  <c r="S70" i="4"/>
  <c r="O70" i="4"/>
  <c r="P70" i="4" s="1"/>
  <c r="Q70" i="4" s="1"/>
  <c r="O69" i="4"/>
  <c r="P69" i="4" s="1"/>
  <c r="Q69" i="4" s="1"/>
  <c r="S68" i="4"/>
  <c r="O68" i="4"/>
  <c r="P68" i="4" s="1"/>
  <c r="Q68" i="4" s="1"/>
  <c r="S67" i="4"/>
  <c r="O67" i="4"/>
  <c r="P67" i="4" s="1"/>
  <c r="Q67" i="4" s="1"/>
  <c r="O66" i="4"/>
  <c r="P66" i="4" s="1"/>
  <c r="Q66" i="4" s="1"/>
  <c r="O65" i="4"/>
  <c r="P65" i="4" s="1"/>
  <c r="Q65" i="4" s="1"/>
  <c r="R66" i="4" s="1"/>
  <c r="O64" i="4"/>
  <c r="P64" i="4" s="1"/>
  <c r="Q64" i="4" s="1"/>
  <c r="R65" i="4" s="1"/>
  <c r="O63" i="4"/>
  <c r="P63" i="4" s="1"/>
  <c r="Q63" i="4" s="1"/>
  <c r="R64" i="4" s="1"/>
  <c r="O62" i="4"/>
  <c r="P62" i="4" s="1"/>
  <c r="Q62" i="4" s="1"/>
  <c r="R63" i="4" s="1"/>
  <c r="O61" i="4"/>
  <c r="P61" i="4" s="1"/>
  <c r="Q61" i="4" s="1"/>
  <c r="O60" i="4"/>
  <c r="P60" i="4" s="1"/>
  <c r="Q60" i="4" s="1"/>
  <c r="R61" i="4" s="1"/>
  <c r="S61" i="4" s="1"/>
  <c r="O59" i="4"/>
  <c r="P59" i="4" s="1"/>
  <c r="Q59" i="4" s="1"/>
  <c r="O58" i="4"/>
  <c r="P58" i="4" s="1"/>
  <c r="Q58" i="4" s="1"/>
  <c r="R59" i="4" s="1"/>
  <c r="S59" i="4" s="1"/>
  <c r="O57" i="4"/>
  <c r="P57" i="4" s="1"/>
  <c r="Q57" i="4" s="1"/>
  <c r="O56" i="4"/>
  <c r="P56" i="4" s="1"/>
  <c r="Q56" i="4" s="1"/>
  <c r="R57" i="4" s="1"/>
  <c r="S57" i="4" s="1"/>
  <c r="O55" i="4"/>
  <c r="P55" i="4" s="1"/>
  <c r="Q55" i="4" s="1"/>
  <c r="O54" i="4"/>
  <c r="P54" i="4" s="1"/>
  <c r="Q54" i="4" s="1"/>
  <c r="R55" i="4" s="1"/>
  <c r="S55" i="4" s="1"/>
  <c r="O53" i="4"/>
  <c r="P53" i="4" s="1"/>
  <c r="Q53" i="4" s="1"/>
  <c r="O52" i="4"/>
  <c r="P52" i="4" s="1"/>
  <c r="Q52" i="4" s="1"/>
  <c r="R53" i="4" s="1"/>
  <c r="S53" i="4" s="1"/>
  <c r="O51" i="4"/>
  <c r="P51" i="4" s="1"/>
  <c r="Q51" i="4" s="1"/>
  <c r="O50" i="4"/>
  <c r="P50" i="4" s="1"/>
  <c r="Q50" i="4" s="1"/>
  <c r="R51" i="4" s="1"/>
  <c r="S51" i="4" s="1"/>
  <c r="O49" i="4"/>
  <c r="P49" i="4" s="1"/>
  <c r="Q49" i="4" s="1"/>
  <c r="O48" i="4"/>
  <c r="P48" i="4" s="1"/>
  <c r="Q48" i="4" s="1"/>
  <c r="R49" i="4" s="1"/>
  <c r="S49" i="4" s="1"/>
  <c r="O47" i="4"/>
  <c r="P47" i="4" s="1"/>
  <c r="Q47" i="4" s="1"/>
  <c r="R48" i="4" s="1"/>
  <c r="O46" i="4"/>
  <c r="P46" i="4" s="1"/>
  <c r="Q46" i="4" s="1"/>
  <c r="R47" i="4" s="1"/>
  <c r="O45" i="4"/>
  <c r="P45" i="4" s="1"/>
  <c r="Q45" i="4" s="1"/>
  <c r="O44" i="4"/>
  <c r="P44" i="4" s="1"/>
  <c r="Q44" i="4" s="1"/>
  <c r="R45" i="4" s="1"/>
  <c r="O43" i="4"/>
  <c r="P43" i="4" s="1"/>
  <c r="Q43" i="4" s="1"/>
  <c r="O42" i="4"/>
  <c r="P42" i="4" s="1"/>
  <c r="Q42" i="4" s="1"/>
  <c r="R43" i="4" s="1"/>
  <c r="S43" i="4" s="1"/>
  <c r="O41" i="4"/>
  <c r="P41" i="4" s="1"/>
  <c r="Q41" i="4" s="1"/>
  <c r="O40" i="4"/>
  <c r="P40" i="4" s="1"/>
  <c r="Q40" i="4" s="1"/>
  <c r="R41" i="4" s="1"/>
  <c r="S41" i="4" s="1"/>
  <c r="O39" i="4"/>
  <c r="P39" i="4" s="1"/>
  <c r="Q39" i="4" s="1"/>
  <c r="O38" i="4"/>
  <c r="P38" i="4" s="1"/>
  <c r="Q38" i="4" s="1"/>
  <c r="R39" i="4" s="1"/>
  <c r="S39" i="4" s="1"/>
  <c r="O37" i="4"/>
  <c r="P37" i="4" s="1"/>
  <c r="Q37" i="4" s="1"/>
  <c r="O36" i="4"/>
  <c r="P36" i="4" s="1"/>
  <c r="Q36" i="4" s="1"/>
  <c r="R37" i="4" s="1"/>
  <c r="S37" i="4" s="1"/>
  <c r="O35" i="4"/>
  <c r="P35" i="4" s="1"/>
  <c r="Q35" i="4" s="1"/>
  <c r="O34" i="4"/>
  <c r="P34" i="4" s="1"/>
  <c r="Q34" i="4" s="1"/>
  <c r="O33" i="4"/>
  <c r="P33" i="4" s="1"/>
  <c r="Q33" i="4" s="1"/>
  <c r="O32" i="4"/>
  <c r="P32" i="4" s="1"/>
  <c r="Q32" i="4" s="1"/>
  <c r="O31" i="4"/>
  <c r="P31" i="4" s="1"/>
  <c r="Q31" i="4" s="1"/>
  <c r="O30" i="4"/>
  <c r="P30" i="4" s="1"/>
  <c r="Q30" i="4" s="1"/>
  <c r="O29" i="4"/>
  <c r="P29" i="4" s="1"/>
  <c r="Q29" i="4" s="1"/>
  <c r="O28" i="4"/>
  <c r="P28" i="4" s="1"/>
  <c r="Q28" i="4" s="1"/>
  <c r="S27" i="4"/>
  <c r="O27" i="4"/>
  <c r="P27" i="4" s="1"/>
  <c r="Q27" i="4" s="1"/>
  <c r="O26" i="4"/>
  <c r="P26" i="4" s="1"/>
  <c r="Q26" i="4" s="1"/>
  <c r="O25" i="4"/>
  <c r="P25" i="4" s="1"/>
  <c r="Q25" i="4" s="1"/>
  <c r="O24" i="4"/>
  <c r="P24" i="4" s="1"/>
  <c r="Q24" i="4" s="1"/>
  <c r="O23" i="4"/>
  <c r="P23" i="4" s="1"/>
  <c r="Q23" i="4" s="1"/>
  <c r="O22" i="4"/>
  <c r="P22" i="4" s="1"/>
  <c r="Q22" i="4" s="1"/>
  <c r="O21" i="4"/>
  <c r="P21" i="4" s="1"/>
  <c r="Q21" i="4" s="1"/>
  <c r="O19" i="4"/>
  <c r="P19" i="4" s="1"/>
  <c r="Q19" i="4" s="1"/>
  <c r="R20" i="4" s="1"/>
  <c r="S20" i="4" s="1"/>
  <c r="O18" i="4"/>
  <c r="P18" i="4" s="1"/>
  <c r="Q18" i="4" s="1"/>
  <c r="O17" i="4"/>
  <c r="P17" i="4" s="1"/>
  <c r="Q17" i="4" s="1"/>
  <c r="R18" i="4" s="1"/>
  <c r="S18" i="4" s="1"/>
  <c r="O16" i="4"/>
  <c r="P16" i="4" s="1"/>
  <c r="Q16" i="4" s="1"/>
  <c r="O15" i="4"/>
  <c r="P15" i="4" s="1"/>
  <c r="Q15" i="4" s="1"/>
  <c r="R16" i="4" s="1"/>
  <c r="S16" i="4" s="1"/>
  <c r="O14" i="4"/>
  <c r="P14" i="4" s="1"/>
  <c r="Q14" i="4" s="1"/>
  <c r="O13" i="4"/>
  <c r="P13" i="4" s="1"/>
  <c r="Q13" i="4" s="1"/>
  <c r="O12" i="4"/>
  <c r="P12" i="4" s="1"/>
  <c r="Q12" i="4" s="1"/>
  <c r="O11" i="4"/>
  <c r="P11" i="4" s="1"/>
  <c r="Q11" i="4" s="1"/>
  <c r="O10" i="4"/>
  <c r="P10" i="4" s="1"/>
  <c r="Q10" i="4" s="1"/>
  <c r="R11" i="4" s="1"/>
  <c r="S11" i="4" s="1"/>
  <c r="O9" i="4"/>
  <c r="P9" i="4" s="1"/>
  <c r="Q9" i="4" s="1"/>
  <c r="O8" i="4"/>
  <c r="P8" i="4" s="1"/>
  <c r="Q8" i="4" s="1"/>
  <c r="R9" i="4" s="1"/>
  <c r="S9" i="4" s="1"/>
  <c r="O7" i="4"/>
  <c r="P7" i="4" s="1"/>
  <c r="Q7" i="4" s="1"/>
  <c r="O6" i="4"/>
  <c r="P6" i="4" s="1"/>
  <c r="Q6" i="4" s="1"/>
  <c r="R7" i="4" s="1"/>
  <c r="S7" i="4" s="1"/>
  <c r="O5" i="4"/>
  <c r="P5" i="4" s="1"/>
  <c r="Q5" i="4" s="1"/>
  <c r="O4" i="4"/>
  <c r="P4" i="4" s="1"/>
  <c r="Q4" i="4" s="1"/>
  <c r="R5" i="4" s="1"/>
  <c r="S5" i="4" s="1"/>
  <c r="O3" i="4"/>
  <c r="P3" i="4" s="1"/>
  <c r="Q3" i="4" s="1"/>
  <c r="O2" i="4"/>
  <c r="P2" i="4" s="1"/>
  <c r="Q2" i="4" s="1"/>
  <c r="K3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2D1B0-82DE-4843-8B4F-FF63181C0214}" name="branch" type="6" refreshedVersion="8" background="1" saveData="1">
    <textPr sourceFile="/Users/joshuaclugston/Desktop/eee577-project/branch.txt" space="1" consecutive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04F8ECA-CD7C-4A66-8972-37752F456210}" name="branch2" type="6" refreshedVersion="8" background="1" saveData="1">
    <textPr sourceFile="/Users/joshuaclugston/Desktop/eee577-project/branch.txt" space="1" consecutive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<sst xmlns="http://schemas.openxmlformats.org/spreadsheetml/2006/main" count="771" uniqueCount="469">
  <si>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</si>
  <si>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</si>
  <si>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</si>
  <si>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</si>
  <si>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</si>
  <si>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</si>
  <si>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</si>
  <si>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</si>
  <si>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</si>
  <si>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</si>
  <si>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</si>
  <si>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AB1</t>
  </si>
  <si>
    <t>A12-1</t>
  </si>
  <si>
    <t>A13-2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</si>
  <si>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</si>
  <si>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</si>
  <si>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</si>
  <si>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</si>
  <si>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</si>
  <si>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</si>
  <si>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</si>
  <si>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</si>
  <si>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</si>
  <si>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AB2</t>
  </si>
  <si>
    <t>A23</t>
  </si>
  <si>
    <t>A24</t>
  </si>
  <si>
    <t>A25-1</t>
  </si>
  <si>
    <t>A25-2</t>
  </si>
  <si>
    <t>A26</t>
  </si>
  <si>
    <t>A27</t>
  </si>
  <si>
    <t>A28</t>
  </si>
  <si>
    <t>A29</t>
  </si>
  <si>
    <t>A30</t>
  </si>
  <si>
    <t>A31-1</t>
  </si>
  <si>
    <t>A31-2</t>
  </si>
  <si>
    <t>A32-1</t>
  </si>
  <si>
    <t>A32-2</t>
  </si>
  <si>
    <t>A33-1</t>
  </si>
  <si>
    <t>A33-2</t>
  </si>
  <si>
    <t>A34</t>
  </si>
  <si>
    <t>AB3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</si>
  <si>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</si>
  <si>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</si>
  <si>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</si>
  <si>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</si>
  <si>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</si>
  <si>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</si>
  <si>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</si>
  <si>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</si>
  <si>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</si>
  <si>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</si>
  <si>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</si>
  <si>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B12-1</t>
  </si>
  <si>
    <t>B13-2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</si>
  <si>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</si>
  <si>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</si>
  <si>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</si>
  <si>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</si>
  <si>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</si>
  <si>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</si>
  <si>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</si>
  <si>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</si>
  <si>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</si>
  <si>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</si>
  <si>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</si>
  <si>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B25-1</t>
  </si>
  <si>
    <t>B25-2</t>
  </si>
  <si>
    <t>B26</t>
  </si>
  <si>
    <t>B27</t>
  </si>
  <si>
    <t>B28</t>
  </si>
  <si>
    <t>B29</t>
  </si>
  <si>
    <t>B30</t>
  </si>
  <si>
    <t>B31-1</t>
  </si>
  <si>
    <t>B31-2</t>
  </si>
  <si>
    <t>B32-1</t>
  </si>
  <si>
    <t>B32-2</t>
  </si>
  <si>
    <t>B33-1</t>
  </si>
  <si>
    <t>B33-2</t>
  </si>
  <si>
    <t>B34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</si>
  <si>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</si>
  <si>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</si>
  <si>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</si>
  <si>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</si>
  <si>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</si>
  <si>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</si>
  <si>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</si>
  <si>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</si>
  <si>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</si>
  <si>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</si>
  <si>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</si>
  <si>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C12-1</t>
  </si>
  <si>
    <t>C13-2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</si>
  <si>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</si>
  <si>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</si>
  <si>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</si>
  <si>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</si>
  <si>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</si>
  <si>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</si>
  <si>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</si>
  <si>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</si>
  <si>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</si>
  <si>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</si>
  <si>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</si>
  <si>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C25-1</t>
  </si>
  <si>
    <t>C25-2</t>
  </si>
  <si>
    <t>C26</t>
  </si>
  <si>
    <t>C27</t>
  </si>
  <si>
    <t>C28</t>
  </si>
  <si>
    <t>C29</t>
  </si>
  <si>
    <t>C30</t>
  </si>
  <si>
    <t>C31-1</t>
  </si>
  <si>
    <t>C31-2</t>
  </si>
  <si>
    <t>C32-1</t>
  </si>
  <si>
    <t>C32-2</t>
  </si>
  <si>
    <t>C33-1</t>
  </si>
  <si>
    <t>C33-2</t>
  </si>
  <si>
    <t>C34</t>
  </si>
  <si>
    <t>CA-1</t>
  </si>
  <si>
    <t>CB-1</t>
  </si>
  <si>
    <t>C35</t>
  </si>
  <si>
    <t>BRANCH_ID</t>
  </si>
  <si>
    <t>FBUS</t>
  </si>
  <si>
    <t>TBUS</t>
  </si>
  <si>
    <t>DUR</t>
  </si>
  <si>
    <t>TRAN_LAM_T</t>
  </si>
  <si>
    <t>R_pu</t>
  </si>
  <si>
    <t>X_pu</t>
  </si>
  <si>
    <t>B_pu</t>
  </si>
  <si>
    <t>CON_MVA</t>
  </si>
  <si>
    <t>LTE_MVA</t>
  </si>
  <si>
    <t>STE_MVA</t>
  </si>
  <si>
    <t>L_MILES</t>
  </si>
  <si>
    <t>PERM_LAM_P</t>
  </si>
  <si>
    <t>TR_pu</t>
  </si>
  <si>
    <t>BUS_ID</t>
  </si>
  <si>
    <t>NAME</t>
  </si>
  <si>
    <t>TYPE</t>
  </si>
  <si>
    <t>MW</t>
  </si>
  <si>
    <t>MVAR</t>
  </si>
  <si>
    <t>GL</t>
  </si>
  <si>
    <t>BL</t>
  </si>
  <si>
    <t>AREA</t>
  </si>
  <si>
    <t>BASE_KV</t>
  </si>
  <si>
    <t>ZONE</t>
  </si>
  <si>
    <t>Abel</t>
  </si>
  <si>
    <t>Adams</t>
  </si>
  <si>
    <t>Adler</t>
  </si>
  <si>
    <t>Agricola</t>
  </si>
  <si>
    <t>Aiken</t>
  </si>
  <si>
    <t>Alber</t>
  </si>
  <si>
    <t>Alder</t>
  </si>
  <si>
    <t>Alger</t>
  </si>
  <si>
    <t>Ali</t>
  </si>
  <si>
    <t>Allen</t>
  </si>
  <si>
    <t>Anna</t>
  </si>
  <si>
    <t>Archer</t>
  </si>
  <si>
    <t>Arne</t>
  </si>
  <si>
    <t>Arnold</t>
  </si>
  <si>
    <t>Arthur</t>
  </si>
  <si>
    <t>Asser</t>
  </si>
  <si>
    <t>Aston</t>
  </si>
  <si>
    <t>Astor</t>
  </si>
  <si>
    <t>Attar</t>
  </si>
  <si>
    <t>Attila</t>
  </si>
  <si>
    <t>Attlee</t>
  </si>
  <si>
    <t>Aubrey</t>
  </si>
  <si>
    <t>Austen</t>
  </si>
  <si>
    <t>Avery</t>
  </si>
  <si>
    <t>Bach</t>
  </si>
  <si>
    <t>Bacon</t>
  </si>
  <si>
    <t>Baffin</t>
  </si>
  <si>
    <t>Bailey</t>
  </si>
  <si>
    <t>Bain</t>
  </si>
  <si>
    <t>Bajer</t>
  </si>
  <si>
    <t>Baker</t>
  </si>
  <si>
    <t>Balch</t>
  </si>
  <si>
    <t>Balzac</t>
  </si>
  <si>
    <t>Banks</t>
  </si>
  <si>
    <t>Bardeen</t>
  </si>
  <si>
    <t>Barkla</t>
  </si>
  <si>
    <t>Barlow</t>
  </si>
  <si>
    <t>Barry</t>
  </si>
  <si>
    <t>Barton</t>
  </si>
  <si>
    <t>Basov</t>
  </si>
  <si>
    <t>Bates</t>
  </si>
  <si>
    <t>Bayle</t>
  </si>
  <si>
    <t>Bede</t>
  </si>
  <si>
    <t>Beethoven</t>
  </si>
  <si>
    <t>Behring</t>
  </si>
  <si>
    <t>Bell</t>
  </si>
  <si>
    <t>Bloch</t>
  </si>
  <si>
    <t>Bordet</t>
  </si>
  <si>
    <t>Cabell</t>
  </si>
  <si>
    <t>Cabot</t>
  </si>
  <si>
    <t>Caesar</t>
  </si>
  <si>
    <t>Caine</t>
  </si>
  <si>
    <t>Calvin</t>
  </si>
  <si>
    <t>Camus</t>
  </si>
  <si>
    <t>Carew</t>
  </si>
  <si>
    <t>Carrel</t>
  </si>
  <si>
    <t>Carter</t>
  </si>
  <si>
    <t>Caruso</t>
  </si>
  <si>
    <t>Cary</t>
  </si>
  <si>
    <t>Caxton</t>
  </si>
  <si>
    <t>Cecil</t>
  </si>
  <si>
    <t>Chain</t>
  </si>
  <si>
    <t>Chase</t>
  </si>
  <si>
    <t>Chifa</t>
  </si>
  <si>
    <t>Chuhsi</t>
  </si>
  <si>
    <t>Clark</t>
  </si>
  <si>
    <t>Clay</t>
  </si>
  <si>
    <t>Clive</t>
  </si>
  <si>
    <t>Cobb</t>
  </si>
  <si>
    <t>Cole</t>
  </si>
  <si>
    <t>Comte</t>
  </si>
  <si>
    <t>Curie</t>
  </si>
  <si>
    <t>Curtiss</t>
  </si>
  <si>
    <t>SIZE_MW</t>
  </si>
  <si>
    <t>COST</t>
  </si>
  <si>
    <t>U12</t>
  </si>
  <si>
    <t>U20</t>
  </si>
  <si>
    <t>U76</t>
  </si>
  <si>
    <t>U100</t>
  </si>
  <si>
    <t>U155</t>
  </si>
  <si>
    <t>U197</t>
  </si>
  <si>
    <t>U350</t>
  </si>
  <si>
    <t>U400</t>
  </si>
  <si>
    <t>U50</t>
  </si>
  <si>
    <t>Sync Cond</t>
  </si>
  <si>
    <t>MVA</t>
  </si>
  <si>
    <t>MVA_bus</t>
  </si>
  <si>
    <t>Bus ID</t>
  </si>
  <si>
    <t>Unit Type</t>
  </si>
  <si>
    <t>ID #</t>
  </si>
  <si>
    <t>PG MW</t>
  </si>
  <si>
    <t>QG MVAR</t>
  </si>
  <si>
    <t>Qmax MVAR</t>
  </si>
  <si>
    <t>Qmin MVAR</t>
  </si>
  <si>
    <t>VS pu</t>
  </si>
  <si>
    <t>MVA_3X</t>
  </si>
  <si>
    <t>NEW_CON</t>
  </si>
  <si>
    <t>TOT_ADDED_LINES</t>
  </si>
  <si>
    <t>cost</t>
  </si>
  <si>
    <t>A1_a</t>
  </si>
  <si>
    <t>A1_b</t>
  </si>
  <si>
    <t>A2_a</t>
  </si>
  <si>
    <t>A2_b</t>
  </si>
  <si>
    <t>A3_a</t>
  </si>
  <si>
    <t>A3_b</t>
  </si>
  <si>
    <t>A4_a</t>
  </si>
  <si>
    <t>A4_b</t>
  </si>
  <si>
    <t>A5_a</t>
  </si>
  <si>
    <t>A5_b</t>
  </si>
  <si>
    <t>A6_a</t>
  </si>
  <si>
    <t>A6_b</t>
  </si>
  <si>
    <t>A6_c</t>
  </si>
  <si>
    <t>A7_a</t>
  </si>
  <si>
    <t>A7_b</t>
  </si>
  <si>
    <t>A8_a</t>
  </si>
  <si>
    <t>A8_b</t>
  </si>
  <si>
    <t>A9_a</t>
  </si>
  <si>
    <t>A9_b</t>
  </si>
  <si>
    <t>A10_a</t>
  </si>
  <si>
    <t>A10_b</t>
  </si>
  <si>
    <t>A10_c</t>
  </si>
  <si>
    <t>A11_a</t>
  </si>
  <si>
    <t>A11_b</t>
  </si>
  <si>
    <t>A11_c</t>
  </si>
  <si>
    <t>AB1_a</t>
  </si>
  <si>
    <t>AB1_b</t>
  </si>
  <si>
    <t>AB1_c</t>
  </si>
  <si>
    <t>A12-1_a</t>
  </si>
  <si>
    <t>A12-1_b</t>
  </si>
  <si>
    <t>A12-1_c</t>
  </si>
  <si>
    <t>A13-2_a</t>
  </si>
  <si>
    <t>A13-2_b</t>
  </si>
  <si>
    <t>A13-2_c</t>
  </si>
  <si>
    <t>A14_a</t>
  </si>
  <si>
    <t>A14_b</t>
  </si>
  <si>
    <t>A15_a</t>
  </si>
  <si>
    <t>A15_b</t>
  </si>
  <si>
    <t>A16_a</t>
  </si>
  <si>
    <t>A16_b</t>
  </si>
  <si>
    <t>A17_a</t>
  </si>
  <si>
    <t>A17_b</t>
  </si>
  <si>
    <t>A18_a</t>
  </si>
  <si>
    <t>A19_a</t>
  </si>
  <si>
    <t>A20_a</t>
  </si>
  <si>
    <t>A21_a</t>
  </si>
  <si>
    <t>A22_a</t>
  </si>
  <si>
    <t>A22_b</t>
  </si>
  <si>
    <t>AB2_a</t>
  </si>
  <si>
    <t>AB2_b</t>
  </si>
  <si>
    <t>A23_a</t>
  </si>
  <si>
    <t>A23_b</t>
  </si>
  <si>
    <t>A24_a</t>
  </si>
  <si>
    <t>A24_b</t>
  </si>
  <si>
    <t>A25-1_a</t>
  </si>
  <si>
    <t>A25-1_b</t>
  </si>
  <si>
    <t>A25-2_a</t>
  </si>
  <si>
    <t>A25-2_b</t>
  </si>
  <si>
    <t>A26_a</t>
  </si>
  <si>
    <t>A26_b</t>
  </si>
  <si>
    <t>A27_a</t>
  </si>
  <si>
    <t>A28_a</t>
  </si>
  <si>
    <t>A29_a</t>
  </si>
  <si>
    <t>A30_a</t>
  </si>
  <si>
    <t>A31-1_a</t>
  </si>
  <si>
    <t>A31-1_b</t>
  </si>
  <si>
    <t>A31-1_c</t>
  </si>
  <si>
    <t>A31-2_a</t>
  </si>
  <si>
    <t>A31-2_b</t>
  </si>
  <si>
    <t>A31-2_c</t>
  </si>
  <si>
    <t>A32-1_a</t>
  </si>
  <si>
    <t>A32-1_b</t>
  </si>
  <si>
    <t>A32-2_a</t>
  </si>
  <si>
    <t>A32-2_b</t>
  </si>
  <si>
    <t>A33-1_a</t>
  </si>
  <si>
    <t>A33-2_a</t>
  </si>
  <si>
    <t>A34_a</t>
  </si>
  <si>
    <t>AB3_a</t>
  </si>
  <si>
    <t>B1_a</t>
  </si>
  <si>
    <t>B1_b</t>
  </si>
  <si>
    <t>B2_a</t>
  </si>
  <si>
    <t>B2_b</t>
  </si>
  <si>
    <t>B3_a</t>
  </si>
  <si>
    <t>B4_a</t>
  </si>
  <si>
    <t>B4_b</t>
  </si>
  <si>
    <t>B5_a</t>
  </si>
  <si>
    <t>B5_b</t>
  </si>
  <si>
    <t>B6_a</t>
  </si>
  <si>
    <t>B6_b</t>
  </si>
  <si>
    <t>B6_c</t>
  </si>
  <si>
    <t>B7_a</t>
  </si>
  <si>
    <t>B7_b</t>
  </si>
  <si>
    <t>B8_a</t>
  </si>
  <si>
    <t>B8_b</t>
  </si>
  <si>
    <t>B9_a</t>
  </si>
  <si>
    <t>B9_b</t>
  </si>
  <si>
    <t>B10_a</t>
  </si>
  <si>
    <t>B10_b</t>
  </si>
  <si>
    <t>B10_c</t>
  </si>
  <si>
    <t>B11_a</t>
  </si>
  <si>
    <t>B11_b</t>
  </si>
  <si>
    <t>B11_c</t>
  </si>
  <si>
    <t>B12-1_a</t>
  </si>
  <si>
    <t>B12-1_b</t>
  </si>
  <si>
    <t>B12-1_c</t>
  </si>
  <si>
    <t>B13-2_a</t>
  </si>
  <si>
    <t>B13-2_b</t>
  </si>
  <si>
    <t>B13-2_c</t>
  </si>
  <si>
    <t>B14_a</t>
  </si>
  <si>
    <t>B14_b</t>
  </si>
  <si>
    <t>B15_a</t>
  </si>
  <si>
    <t>B15_b</t>
  </si>
  <si>
    <t>B16_a</t>
  </si>
  <si>
    <t>B16_b</t>
  </si>
  <si>
    <t>B17_a</t>
  </si>
  <si>
    <t>B17_b</t>
  </si>
  <si>
    <t>B18_a</t>
  </si>
  <si>
    <t>B19_a</t>
  </si>
  <si>
    <t>B20_a</t>
  </si>
  <si>
    <t>B21_a</t>
  </si>
  <si>
    <t>B22_a</t>
  </si>
  <si>
    <t>B22_b</t>
  </si>
  <si>
    <t>B23_a</t>
  </si>
  <si>
    <t>B23_b</t>
  </si>
  <si>
    <t>B24_a</t>
  </si>
  <si>
    <t>B24_b</t>
  </si>
  <si>
    <t>B25-1_a</t>
  </si>
  <si>
    <t>B25-1_b</t>
  </si>
  <si>
    <t>B25-2_a</t>
  </si>
  <si>
    <t>B25-2_b</t>
  </si>
  <si>
    <t>B26_a</t>
  </si>
  <si>
    <t>B26_b</t>
  </si>
  <si>
    <t>B27_a</t>
  </si>
  <si>
    <t>B28_a</t>
  </si>
  <si>
    <t>B29_a</t>
  </si>
  <si>
    <t>B30_a</t>
  </si>
  <si>
    <t>B31-1_a</t>
  </si>
  <si>
    <t>B31-1_b</t>
  </si>
  <si>
    <t>B31-1_c</t>
  </si>
  <si>
    <t>B31-2_a</t>
  </si>
  <si>
    <t>B31-2_b</t>
  </si>
  <si>
    <t>B31-2_c</t>
  </si>
  <si>
    <t>B32-1_a</t>
  </si>
  <si>
    <t>B32-1_b</t>
  </si>
  <si>
    <t>B32-2_a</t>
  </si>
  <si>
    <t>B32-2_b</t>
  </si>
  <si>
    <t>B33-1_a</t>
  </si>
  <si>
    <t>B33-2_a</t>
  </si>
  <si>
    <t>B34_a</t>
  </si>
  <si>
    <t>C1_a</t>
  </si>
  <si>
    <t>C1_b</t>
  </si>
  <si>
    <t>C2_a</t>
  </si>
  <si>
    <t>C2_b</t>
  </si>
  <si>
    <t>C3_a</t>
  </si>
  <si>
    <t>C3_b</t>
  </si>
  <si>
    <t>C4_a</t>
  </si>
  <si>
    <t>C4_b</t>
  </si>
  <si>
    <t>C5_a</t>
  </si>
  <si>
    <t>C5_b</t>
  </si>
  <si>
    <t>C6_a</t>
  </si>
  <si>
    <t>C6_b</t>
  </si>
  <si>
    <t>C6_c</t>
  </si>
  <si>
    <t>C7_a</t>
  </si>
  <si>
    <t>C7_b</t>
  </si>
  <si>
    <t>C8_a</t>
  </si>
  <si>
    <t>C8_b</t>
  </si>
  <si>
    <t>C9_a</t>
  </si>
  <si>
    <t>C9_b</t>
  </si>
  <si>
    <t>C10_a</t>
  </si>
  <si>
    <t>C10_b</t>
  </si>
  <si>
    <t>C10_c</t>
  </si>
  <si>
    <t>C11_a</t>
  </si>
  <si>
    <t>C11_b</t>
  </si>
  <si>
    <t>C11_c</t>
  </si>
  <si>
    <t>C12-1_a</t>
  </si>
  <si>
    <t>C12-1_b</t>
  </si>
  <si>
    <t>C12-1_c</t>
  </si>
  <si>
    <t>C13-2_a</t>
  </si>
  <si>
    <t>C13-2_b</t>
  </si>
  <si>
    <t>C13-2_c</t>
  </si>
  <si>
    <t>C14_a</t>
  </si>
  <si>
    <t>C14_b</t>
  </si>
  <si>
    <t>C15_a</t>
  </si>
  <si>
    <t>C15_b</t>
  </si>
  <si>
    <t>C16_a</t>
  </si>
  <si>
    <t>C16_b</t>
  </si>
  <si>
    <t>C17_a</t>
  </si>
  <si>
    <t>C17_b</t>
  </si>
  <si>
    <t>C18_a</t>
  </si>
  <si>
    <t>C19_a</t>
  </si>
  <si>
    <t>C20_a</t>
  </si>
  <si>
    <t>C21_a</t>
  </si>
  <si>
    <t>C22_a</t>
  </si>
  <si>
    <t>C22_b</t>
  </si>
  <si>
    <t>C23_a</t>
  </si>
  <si>
    <t>C23_b</t>
  </si>
  <si>
    <t>C24_a</t>
  </si>
  <si>
    <t>C24_b</t>
  </si>
  <si>
    <t>C25-1_a</t>
  </si>
  <si>
    <t>C25-1_b</t>
  </si>
  <si>
    <t>C25-2_a</t>
  </si>
  <si>
    <t>C25-2_b</t>
  </si>
  <si>
    <t>C26_a</t>
  </si>
  <si>
    <t>C26_b</t>
  </si>
  <si>
    <t>C27_a</t>
  </si>
  <si>
    <t>C28_a</t>
  </si>
  <si>
    <t>C29_a</t>
  </si>
  <si>
    <t>C30_a</t>
  </si>
  <si>
    <t>C31-1_a</t>
  </si>
  <si>
    <t>C31-1_b</t>
  </si>
  <si>
    <t>C31-1_c</t>
  </si>
  <si>
    <t>C31-2_a</t>
  </si>
  <si>
    <t>C31-2_b</t>
  </si>
  <si>
    <t>C31-2_c</t>
  </si>
  <si>
    <t>C32-1_a</t>
  </si>
  <si>
    <t>C32-1_b</t>
  </si>
  <si>
    <t>C32-2_a</t>
  </si>
  <si>
    <t>C32-2_b</t>
  </si>
  <si>
    <t>C33-1_a</t>
  </si>
  <si>
    <t>C33-2_a</t>
  </si>
  <si>
    <t>C34_a</t>
  </si>
  <si>
    <t>CA-1_a</t>
  </si>
  <si>
    <t>CB-1_a</t>
  </si>
  <si>
    <t>CB-1_b</t>
  </si>
  <si>
    <t>CB-1_c</t>
  </si>
  <si>
    <t>C35_a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</si>
</sst>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1" fontId="0" fillId="0" borderId="0" xfId="0" applyNumberFormat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shuaclugston/Downloads/data-3.xlsx" TargetMode="External"/><Relationship Id="rId1" Type="http://schemas.openxmlformats.org/officeDocument/2006/relationships/externalLinkPath" Target="/Users/joshuaclugston/Downloads/data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nch"/>
      <sheetName val="new_branch"/>
      <sheetName val="gen"/>
      <sheetName val="bus"/>
      <sheetName val="gen_at_bus"/>
    </sheetNames>
    <sheetDataSet>
      <sheetData sheetId="0"/>
      <sheetData sheetId="1"/>
      <sheetData sheetId="2"/>
      <sheetData sheetId="3">
        <row r="1">
          <cell r="A1" t="str">
            <v>BUS_ID</v>
          </cell>
          <cell r="K1" t="str">
            <v>MVA</v>
          </cell>
        </row>
        <row r="2">
          <cell r="A2">
            <v>101</v>
          </cell>
          <cell r="K2">
            <v>110.21796586763884</v>
          </cell>
        </row>
        <row r="3">
          <cell r="A3">
            <v>102</v>
          </cell>
          <cell r="K3">
            <v>99.040395798886024</v>
          </cell>
        </row>
        <row r="4">
          <cell r="A4">
            <v>103</v>
          </cell>
          <cell r="K4">
            <v>183.76343488300387</v>
          </cell>
        </row>
        <row r="5">
          <cell r="A5">
            <v>104</v>
          </cell>
          <cell r="K5">
            <v>75.504966724050675</v>
          </cell>
        </row>
        <row r="6">
          <cell r="A6">
            <v>105</v>
          </cell>
          <cell r="K6">
            <v>72.367119605522504</v>
          </cell>
        </row>
        <row r="7">
          <cell r="A7">
            <v>106</v>
          </cell>
          <cell r="K7">
            <v>138.85243966167826</v>
          </cell>
        </row>
        <row r="8">
          <cell r="A8">
            <v>107</v>
          </cell>
          <cell r="K8">
            <v>127.47548783981962</v>
          </cell>
        </row>
        <row r="9">
          <cell r="A9">
            <v>108</v>
          </cell>
          <cell r="K9">
            <v>174.54512310574592</v>
          </cell>
        </row>
        <row r="10">
          <cell r="A10">
            <v>109</v>
          </cell>
          <cell r="K10">
            <v>178.66449003649271</v>
          </cell>
        </row>
        <row r="11">
          <cell r="A11">
            <v>110</v>
          </cell>
          <cell r="K11">
            <v>199.06029237394384</v>
          </cell>
        </row>
        <row r="12">
          <cell r="A12">
            <v>111</v>
          </cell>
          <cell r="K12">
            <v>0</v>
          </cell>
        </row>
        <row r="13">
          <cell r="A13">
            <v>112</v>
          </cell>
          <cell r="K13">
            <v>0</v>
          </cell>
        </row>
        <row r="14">
          <cell r="A14">
            <v>113</v>
          </cell>
          <cell r="K14">
            <v>270.44592805217093</v>
          </cell>
        </row>
        <row r="15">
          <cell r="A15">
            <v>114</v>
          </cell>
          <cell r="K15">
            <v>197.88127753782064</v>
          </cell>
        </row>
        <row r="16">
          <cell r="A16">
            <v>115</v>
          </cell>
          <cell r="K16">
            <v>323.39604202896487</v>
          </cell>
        </row>
        <row r="17">
          <cell r="A17">
            <v>116</v>
          </cell>
          <cell r="K17">
            <v>101.9803902718557</v>
          </cell>
        </row>
        <row r="18">
          <cell r="A18">
            <v>117</v>
          </cell>
          <cell r="K18">
            <v>0</v>
          </cell>
        </row>
        <row r="19">
          <cell r="A19">
            <v>118</v>
          </cell>
          <cell r="K19">
            <v>339.87203474248952</v>
          </cell>
        </row>
        <row r="20">
          <cell r="A20">
            <v>119</v>
          </cell>
          <cell r="K20">
            <v>184.74306482247175</v>
          </cell>
        </row>
        <row r="21">
          <cell r="A21">
            <v>120</v>
          </cell>
          <cell r="K21">
            <v>130.61393493804556</v>
          </cell>
        </row>
        <row r="22">
          <cell r="A22">
            <v>121</v>
          </cell>
          <cell r="K22">
            <v>0</v>
          </cell>
        </row>
        <row r="23">
          <cell r="A23">
            <v>122</v>
          </cell>
          <cell r="K23">
            <v>0</v>
          </cell>
        </row>
        <row r="24">
          <cell r="A24">
            <v>123</v>
          </cell>
          <cell r="K24">
            <v>0</v>
          </cell>
        </row>
        <row r="25">
          <cell r="A25">
            <v>124</v>
          </cell>
          <cell r="K25">
            <v>0</v>
          </cell>
        </row>
        <row r="26">
          <cell r="A26">
            <v>201</v>
          </cell>
          <cell r="K26">
            <v>110.21796586763884</v>
          </cell>
        </row>
        <row r="27">
          <cell r="A27">
            <v>202</v>
          </cell>
          <cell r="K27">
            <v>99.040395798886024</v>
          </cell>
        </row>
        <row r="28">
          <cell r="A28">
            <v>203</v>
          </cell>
          <cell r="K28">
            <v>183.76343488300387</v>
          </cell>
        </row>
        <row r="29">
          <cell r="A29">
            <v>204</v>
          </cell>
          <cell r="K29">
            <v>75.504966724050675</v>
          </cell>
        </row>
        <row r="30">
          <cell r="A30">
            <v>205</v>
          </cell>
          <cell r="K30">
            <v>72.367119605522504</v>
          </cell>
        </row>
        <row r="31">
          <cell r="A31">
            <v>206</v>
          </cell>
          <cell r="K31">
            <v>138.85243966167826</v>
          </cell>
        </row>
        <row r="32">
          <cell r="A32">
            <v>207</v>
          </cell>
          <cell r="K32">
            <v>127.47548783981962</v>
          </cell>
        </row>
        <row r="33">
          <cell r="A33">
            <v>208</v>
          </cell>
          <cell r="K33">
            <v>174.54512310574592</v>
          </cell>
        </row>
        <row r="34">
          <cell r="A34">
            <v>209</v>
          </cell>
          <cell r="K34">
            <v>178.66449003649271</v>
          </cell>
        </row>
        <row r="35">
          <cell r="A35">
            <v>210</v>
          </cell>
          <cell r="K35">
            <v>199.06029237394384</v>
          </cell>
        </row>
        <row r="36">
          <cell r="A36">
            <v>211</v>
          </cell>
          <cell r="K36">
            <v>0</v>
          </cell>
        </row>
        <row r="37">
          <cell r="A37">
            <v>212</v>
          </cell>
          <cell r="K37">
            <v>0</v>
          </cell>
        </row>
        <row r="38">
          <cell r="A38">
            <v>213</v>
          </cell>
          <cell r="K38">
            <v>270.44592805217093</v>
          </cell>
        </row>
        <row r="39">
          <cell r="A39">
            <v>214</v>
          </cell>
          <cell r="K39">
            <v>197.88127753782064</v>
          </cell>
        </row>
        <row r="40">
          <cell r="A40">
            <v>215</v>
          </cell>
          <cell r="K40">
            <v>323.39604202896487</v>
          </cell>
        </row>
        <row r="41">
          <cell r="A41">
            <v>216</v>
          </cell>
          <cell r="K41">
            <v>101.9803902718557</v>
          </cell>
        </row>
        <row r="42">
          <cell r="A42">
            <v>217</v>
          </cell>
          <cell r="K42">
            <v>0</v>
          </cell>
        </row>
        <row r="43">
          <cell r="A43">
            <v>218</v>
          </cell>
          <cell r="K43">
            <v>339.87203474248952</v>
          </cell>
        </row>
        <row r="44">
          <cell r="A44">
            <v>219</v>
          </cell>
          <cell r="K44">
            <v>184.74306482247175</v>
          </cell>
        </row>
        <row r="45">
          <cell r="A45">
            <v>220</v>
          </cell>
          <cell r="K45">
            <v>130.61393493804556</v>
          </cell>
        </row>
        <row r="46">
          <cell r="A46">
            <v>221</v>
          </cell>
          <cell r="K46">
            <v>0</v>
          </cell>
        </row>
        <row r="47">
          <cell r="A47">
            <v>222</v>
          </cell>
          <cell r="K47">
            <v>0</v>
          </cell>
        </row>
        <row r="48">
          <cell r="A48">
            <v>223</v>
          </cell>
          <cell r="K48">
            <v>0</v>
          </cell>
        </row>
        <row r="49">
          <cell r="A49">
            <v>224</v>
          </cell>
          <cell r="K49">
            <v>0</v>
          </cell>
        </row>
        <row r="50">
          <cell r="A50">
            <v>301</v>
          </cell>
          <cell r="K50">
            <v>110.21796586763884</v>
          </cell>
        </row>
        <row r="51">
          <cell r="A51">
            <v>302</v>
          </cell>
          <cell r="K51">
            <v>99.040395798886024</v>
          </cell>
        </row>
        <row r="52">
          <cell r="A52">
            <v>303</v>
          </cell>
          <cell r="K52">
            <v>183.76343488300387</v>
          </cell>
        </row>
        <row r="53">
          <cell r="A53">
            <v>304</v>
          </cell>
          <cell r="K53">
            <v>75.504966724050675</v>
          </cell>
        </row>
        <row r="54">
          <cell r="A54">
            <v>305</v>
          </cell>
          <cell r="K54">
            <v>72.367119605522504</v>
          </cell>
        </row>
        <row r="55">
          <cell r="A55">
            <v>306</v>
          </cell>
          <cell r="K55">
            <v>138.85243966167826</v>
          </cell>
        </row>
        <row r="56">
          <cell r="A56">
            <v>307</v>
          </cell>
          <cell r="K56">
            <v>127.47548783981962</v>
          </cell>
        </row>
        <row r="57">
          <cell r="A57">
            <v>308</v>
          </cell>
          <cell r="K57">
            <v>174.54512310574592</v>
          </cell>
        </row>
        <row r="58">
          <cell r="A58">
            <v>309</v>
          </cell>
          <cell r="K58">
            <v>178.66449003649271</v>
          </cell>
        </row>
        <row r="59">
          <cell r="A59">
            <v>310</v>
          </cell>
          <cell r="K59">
            <v>199.06029237394384</v>
          </cell>
        </row>
        <row r="60">
          <cell r="A60">
            <v>311</v>
          </cell>
          <cell r="K60">
            <v>0</v>
          </cell>
        </row>
        <row r="61">
          <cell r="A61">
            <v>312</v>
          </cell>
          <cell r="K61">
            <v>0</v>
          </cell>
        </row>
        <row r="62">
          <cell r="A62">
            <v>313</v>
          </cell>
          <cell r="K62">
            <v>270.44592805217093</v>
          </cell>
        </row>
        <row r="63">
          <cell r="A63">
            <v>314</v>
          </cell>
          <cell r="K63">
            <v>197.88127753782064</v>
          </cell>
        </row>
        <row r="64">
          <cell r="A64">
            <v>315</v>
          </cell>
          <cell r="K64">
            <v>323.39604202896487</v>
          </cell>
        </row>
        <row r="65">
          <cell r="A65">
            <v>316</v>
          </cell>
          <cell r="K65">
            <v>101.9803902718557</v>
          </cell>
        </row>
        <row r="66">
          <cell r="A66">
            <v>317</v>
          </cell>
          <cell r="K66">
            <v>0</v>
          </cell>
        </row>
        <row r="67">
          <cell r="A67">
            <v>318</v>
          </cell>
          <cell r="K67">
            <v>339.87203474248952</v>
          </cell>
        </row>
        <row r="68">
          <cell r="A68">
            <v>319</v>
          </cell>
          <cell r="K68">
            <v>184.74306482247175</v>
          </cell>
        </row>
        <row r="69">
          <cell r="A69">
            <v>320</v>
          </cell>
          <cell r="K69">
            <v>130.61393493804556</v>
          </cell>
        </row>
        <row r="70">
          <cell r="A70">
            <v>321</v>
          </cell>
          <cell r="K70">
            <v>0</v>
          </cell>
        </row>
        <row r="71">
          <cell r="A71">
            <v>322</v>
          </cell>
          <cell r="K71">
            <v>0</v>
          </cell>
        </row>
        <row r="72">
          <cell r="A72">
            <v>323</v>
          </cell>
          <cell r="K72">
            <v>0</v>
          </cell>
        </row>
        <row r="73">
          <cell r="A73">
            <v>324</v>
          </cell>
          <cell r="K73">
            <v>0</v>
          </cell>
        </row>
        <row r="74">
          <cell r="A74">
            <v>325</v>
          </cell>
          <cell r="K74">
            <v>0</v>
          </cell>
        </row>
      </sheetData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ranch" connectionId="1" xr16:uid="{0A23D428-9377-9343-BC2D-B78224898C7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ranch" connectionId="2" xr16:uid="{F254E5F1-6BC9-D942-8051-B68134B7893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BA52-D1D4-AF49-BBB9-424E5AAF36F1}">
  <dimension ref="A1:P121"/>
  <sheetViews>
    <sheetView workbookViewId="0">
      <selection activeCell="I1" sqref="I1:I1048576"/>
    </sheetView>
  </sheetViews>
  <sheetFormatPr baseColWidth="10" defaultColWidth="11" defaultRowHeight="16" x14ac:dyDescent="0.2"/>
  <cols>
    <col min="1" max="1" width="13" customWidth="1"/>
    <col min="2" max="3" width="5.33203125" customWidth="1"/>
    <col min="4" max="4" width="7.5" bestFit="1" customWidth="1"/>
    <col min="5" max="5" width="11.6640625" bestFit="1" customWidth="1"/>
    <col min="6" max="6" width="4.5" bestFit="1" customWidth="1"/>
    <col min="7" max="7" width="11.33203125" bestFit="1" customWidth="1"/>
    <col min="8" max="10" width="5.83203125" bestFit="1" customWidth="1"/>
    <col min="11" max="11" width="9.33203125" bestFit="1" customWidth="1"/>
    <col min="12" max="12" width="8.1640625" bestFit="1" customWidth="1"/>
    <col min="13" max="13" width="8.33203125" bestFit="1" customWidth="1"/>
    <col min="14" max="14" width="5.83203125" bestFit="1" customWidth="1"/>
    <col min="15" max="15" width="8.33203125" bestFit="1" customWidth="1"/>
    <col min="16" max="16" width="8.33203125" customWidth="1"/>
    <col min="18" max="18" width="16.33203125" bestFit="1" customWidth="1"/>
  </cols>
  <sheetData>
    <row r="1" spans="1:16" x14ac:dyDescent="0.2">
      <c r="A1" t="s">
        <v>120</v>
      </c>
      <c r="B1" t="s">
        <v>121</v>
      </c>
      <c r="C1" t="s">
        <v>122</v>
      </c>
      <c r="D1" t="s">
        <v>131</v>
      </c>
      <c r="E1" t="s">
        <v>132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133</v>
      </c>
    </row>
    <row r="2" spans="1:16" x14ac:dyDescent="0.2">
      <c r="A2" t="s">
        <v>0</v>
      </c>
      <c r="B2">
        <v>101</v>
      </c>
      <c r="C2">
        <v>102</v>
      </c>
      <c r="D2">
        <v>3</v>
      </c>
      <c r="E2">
        <v>0.24</v>
      </c>
      <c r="F2">
        <v>16</v>
      </c>
      <c r="G2">
        <v>0</v>
      </c>
      <c r="H2">
        <v>3.0000000000000001E-3</v>
      </c>
      <c r="I2">
        <v>1.4E-2</v>
      </c>
      <c r="J2">
        <v>0.46100000000000002</v>
      </c>
      <c r="K2">
        <v>175</v>
      </c>
      <c r="L2">
        <v>193</v>
      </c>
      <c r="M2">
        <v>200</v>
      </c>
      <c r="N2">
        <v>0</v>
      </c>
      <c r="O2" s="4"/>
      <c r="P2" s="4"/>
    </row>
    <row r="3" spans="1:16" x14ac:dyDescent="0.2">
      <c r="A3" t="s">
        <v>1</v>
      </c>
      <c r="B3">
        <v>101</v>
      </c>
      <c r="C3">
        <v>103</v>
      </c>
      <c r="D3">
        <v>55</v>
      </c>
      <c r="E3">
        <v>0.51</v>
      </c>
      <c r="F3">
        <v>10</v>
      </c>
      <c r="G3">
        <v>2.9</v>
      </c>
      <c r="H3">
        <v>5.5E-2</v>
      </c>
      <c r="I3">
        <v>0.21099999999999999</v>
      </c>
      <c r="J3">
        <v>5.7000000000000002E-2</v>
      </c>
      <c r="K3">
        <v>175</v>
      </c>
      <c r="L3">
        <v>208</v>
      </c>
      <c r="M3">
        <v>220</v>
      </c>
      <c r="N3">
        <v>0</v>
      </c>
      <c r="O3" s="4"/>
      <c r="P3" s="4"/>
    </row>
    <row r="4" spans="1:16" x14ac:dyDescent="0.2">
      <c r="A4" t="s">
        <v>2</v>
      </c>
      <c r="B4">
        <v>101</v>
      </c>
      <c r="C4">
        <v>105</v>
      </c>
      <c r="D4">
        <v>22</v>
      </c>
      <c r="E4">
        <v>0.33</v>
      </c>
      <c r="F4">
        <v>10</v>
      </c>
      <c r="G4">
        <v>1.2</v>
      </c>
      <c r="H4">
        <v>2.1999999999999999E-2</v>
      </c>
      <c r="I4">
        <v>8.5000000000000006E-2</v>
      </c>
      <c r="J4">
        <v>2.3E-2</v>
      </c>
      <c r="K4">
        <v>175</v>
      </c>
      <c r="L4">
        <v>208</v>
      </c>
      <c r="M4">
        <v>220</v>
      </c>
      <c r="N4">
        <v>0</v>
      </c>
      <c r="O4" s="4"/>
      <c r="P4" s="4"/>
    </row>
    <row r="5" spans="1:16" x14ac:dyDescent="0.2">
      <c r="A5" t="s">
        <v>3</v>
      </c>
      <c r="B5">
        <v>102</v>
      </c>
      <c r="C5">
        <v>104</v>
      </c>
      <c r="D5">
        <v>33</v>
      </c>
      <c r="E5">
        <v>0.39</v>
      </c>
      <c r="F5">
        <v>10</v>
      </c>
      <c r="G5">
        <v>1.7</v>
      </c>
      <c r="H5">
        <v>3.3000000000000002E-2</v>
      </c>
      <c r="I5">
        <v>0.127</v>
      </c>
      <c r="J5">
        <v>3.4000000000000002E-2</v>
      </c>
      <c r="K5">
        <v>175</v>
      </c>
      <c r="L5">
        <v>208</v>
      </c>
      <c r="M5">
        <v>220</v>
      </c>
      <c r="N5">
        <v>0</v>
      </c>
      <c r="O5" s="4"/>
      <c r="P5" s="4"/>
    </row>
    <row r="6" spans="1:16" x14ac:dyDescent="0.2">
      <c r="A6" t="s">
        <v>4</v>
      </c>
      <c r="B6">
        <v>102</v>
      </c>
      <c r="C6">
        <v>106</v>
      </c>
      <c r="D6">
        <v>50</v>
      </c>
      <c r="E6">
        <v>0.48</v>
      </c>
      <c r="F6">
        <v>10</v>
      </c>
      <c r="G6">
        <v>2.6</v>
      </c>
      <c r="H6">
        <v>0.05</v>
      </c>
      <c r="I6">
        <v>0.192</v>
      </c>
      <c r="J6">
        <v>5.1999999999999998E-2</v>
      </c>
      <c r="K6">
        <v>175</v>
      </c>
      <c r="L6">
        <v>208</v>
      </c>
      <c r="M6">
        <v>220</v>
      </c>
      <c r="N6">
        <v>0</v>
      </c>
      <c r="O6" s="4"/>
      <c r="P6" s="4"/>
    </row>
    <row r="7" spans="1:16" x14ac:dyDescent="0.2">
      <c r="A7" t="s">
        <v>5</v>
      </c>
      <c r="B7">
        <v>103</v>
      </c>
      <c r="C7">
        <v>109</v>
      </c>
      <c r="D7">
        <v>31</v>
      </c>
      <c r="E7">
        <v>0.38</v>
      </c>
      <c r="F7">
        <v>10</v>
      </c>
      <c r="G7">
        <v>1.6</v>
      </c>
      <c r="H7">
        <v>3.1E-2</v>
      </c>
      <c r="I7">
        <v>0.11899999999999999</v>
      </c>
      <c r="J7">
        <v>3.2000000000000001E-2</v>
      </c>
      <c r="K7">
        <v>175</v>
      </c>
      <c r="L7">
        <v>208</v>
      </c>
      <c r="M7">
        <v>220</v>
      </c>
      <c r="N7">
        <v>0</v>
      </c>
      <c r="O7" s="4"/>
      <c r="P7" s="4"/>
    </row>
    <row r="8" spans="1:16" x14ac:dyDescent="0.2">
      <c r="A8" t="s">
        <v>6</v>
      </c>
      <c r="B8">
        <v>103</v>
      </c>
      <c r="C8">
        <v>124</v>
      </c>
      <c r="D8">
        <v>0</v>
      </c>
      <c r="E8">
        <v>0.02</v>
      </c>
      <c r="F8">
        <v>768</v>
      </c>
      <c r="G8">
        <v>0</v>
      </c>
      <c r="H8">
        <v>2E-3</v>
      </c>
      <c r="I8">
        <v>8.4000000000000005E-2</v>
      </c>
      <c r="J8">
        <v>0</v>
      </c>
      <c r="K8">
        <v>400</v>
      </c>
      <c r="L8">
        <v>510</v>
      </c>
      <c r="M8">
        <v>600</v>
      </c>
      <c r="N8">
        <v>1.0149999999999999</v>
      </c>
      <c r="O8" s="4"/>
      <c r="P8" s="4"/>
    </row>
    <row r="9" spans="1:16" x14ac:dyDescent="0.2">
      <c r="A9" t="s">
        <v>7</v>
      </c>
      <c r="B9">
        <v>104</v>
      </c>
      <c r="C9">
        <v>109</v>
      </c>
      <c r="D9">
        <v>27</v>
      </c>
      <c r="E9">
        <v>0.36</v>
      </c>
      <c r="F9">
        <v>10</v>
      </c>
      <c r="G9">
        <v>1.4</v>
      </c>
      <c r="H9">
        <v>2.7E-2</v>
      </c>
      <c r="I9">
        <v>0.104</v>
      </c>
      <c r="J9">
        <v>2.8000000000000001E-2</v>
      </c>
      <c r="K9">
        <v>175</v>
      </c>
      <c r="L9">
        <v>208</v>
      </c>
      <c r="M9">
        <v>220</v>
      </c>
      <c r="N9">
        <v>0</v>
      </c>
      <c r="O9" s="4"/>
      <c r="P9" s="4"/>
    </row>
    <row r="10" spans="1:16" x14ac:dyDescent="0.2">
      <c r="A10" t="s">
        <v>8</v>
      </c>
      <c r="B10">
        <v>105</v>
      </c>
      <c r="C10">
        <v>110</v>
      </c>
      <c r="D10">
        <v>23</v>
      </c>
      <c r="E10">
        <v>0.34</v>
      </c>
      <c r="F10">
        <v>10</v>
      </c>
      <c r="G10">
        <v>1.2</v>
      </c>
      <c r="H10">
        <v>2.3E-2</v>
      </c>
      <c r="I10">
        <v>8.7999999999999995E-2</v>
      </c>
      <c r="J10">
        <v>2.4E-2</v>
      </c>
      <c r="K10">
        <v>175</v>
      </c>
      <c r="L10">
        <v>208</v>
      </c>
      <c r="M10">
        <v>220</v>
      </c>
      <c r="N10">
        <v>0</v>
      </c>
      <c r="O10" s="4"/>
      <c r="P10" s="4"/>
    </row>
    <row r="11" spans="1:16" x14ac:dyDescent="0.2">
      <c r="A11" t="s">
        <v>9</v>
      </c>
      <c r="B11">
        <v>106</v>
      </c>
      <c r="C11">
        <v>110</v>
      </c>
      <c r="D11">
        <v>16</v>
      </c>
      <c r="E11">
        <v>0.33</v>
      </c>
      <c r="F11">
        <v>35</v>
      </c>
      <c r="G11">
        <v>0</v>
      </c>
      <c r="H11">
        <v>1.4E-2</v>
      </c>
      <c r="I11">
        <v>6.0999999999999999E-2</v>
      </c>
      <c r="J11">
        <v>2.4590000000000001</v>
      </c>
      <c r="K11">
        <v>175</v>
      </c>
      <c r="L11">
        <v>193</v>
      </c>
      <c r="M11">
        <v>200</v>
      </c>
      <c r="N11">
        <v>0</v>
      </c>
      <c r="O11" s="4"/>
      <c r="P11" s="4"/>
    </row>
    <row r="12" spans="1:16" x14ac:dyDescent="0.2">
      <c r="A12" t="s">
        <v>10</v>
      </c>
      <c r="B12">
        <v>107</v>
      </c>
      <c r="C12">
        <v>108</v>
      </c>
      <c r="D12">
        <v>16</v>
      </c>
      <c r="E12">
        <v>0.3</v>
      </c>
      <c r="F12">
        <v>10</v>
      </c>
      <c r="G12">
        <v>0.8</v>
      </c>
      <c r="H12">
        <v>1.6E-2</v>
      </c>
      <c r="I12">
        <v>6.0999999999999999E-2</v>
      </c>
      <c r="J12">
        <v>1.7000000000000001E-2</v>
      </c>
      <c r="K12">
        <v>175</v>
      </c>
      <c r="L12">
        <v>208</v>
      </c>
      <c r="M12">
        <v>220</v>
      </c>
      <c r="N12">
        <v>0</v>
      </c>
      <c r="O12" s="4"/>
      <c r="P12" s="4"/>
    </row>
    <row r="13" spans="1:16" x14ac:dyDescent="0.2">
      <c r="A13" t="s">
        <v>11</v>
      </c>
      <c r="B13">
        <v>107</v>
      </c>
      <c r="C13">
        <v>203</v>
      </c>
      <c r="D13">
        <v>42</v>
      </c>
      <c r="E13">
        <v>0.44</v>
      </c>
      <c r="F13">
        <v>10</v>
      </c>
      <c r="G13">
        <v>2.2000000000000002</v>
      </c>
      <c r="H13">
        <v>4.2000000000000003E-2</v>
      </c>
      <c r="I13">
        <v>0.161</v>
      </c>
      <c r="J13">
        <v>4.3999999999999997E-2</v>
      </c>
      <c r="K13">
        <v>175</v>
      </c>
      <c r="L13">
        <v>208</v>
      </c>
      <c r="M13">
        <v>220</v>
      </c>
      <c r="N13">
        <v>0</v>
      </c>
      <c r="O13" s="4"/>
      <c r="P13" s="4"/>
    </row>
    <row r="14" spans="1:16" x14ac:dyDescent="0.2">
      <c r="A14" t="s">
        <v>12</v>
      </c>
      <c r="B14">
        <v>108</v>
      </c>
      <c r="C14">
        <v>109</v>
      </c>
      <c r="D14">
        <v>43</v>
      </c>
      <c r="E14">
        <v>0.44</v>
      </c>
      <c r="F14">
        <v>10</v>
      </c>
      <c r="G14">
        <v>2.2999999999999998</v>
      </c>
      <c r="H14">
        <v>4.2999999999999997E-2</v>
      </c>
      <c r="I14">
        <v>0.16500000000000001</v>
      </c>
      <c r="J14">
        <v>4.4999999999999998E-2</v>
      </c>
      <c r="K14">
        <v>175</v>
      </c>
      <c r="L14">
        <v>208</v>
      </c>
      <c r="M14">
        <v>220</v>
      </c>
      <c r="N14">
        <v>0</v>
      </c>
      <c r="O14" s="4"/>
      <c r="P14" s="4"/>
    </row>
    <row r="15" spans="1:16" x14ac:dyDescent="0.2">
      <c r="A15" t="s">
        <v>13</v>
      </c>
      <c r="B15">
        <v>108</v>
      </c>
      <c r="C15">
        <v>110</v>
      </c>
      <c r="D15">
        <v>43</v>
      </c>
      <c r="E15">
        <v>0.44</v>
      </c>
      <c r="F15">
        <v>10</v>
      </c>
      <c r="G15">
        <v>2.2999999999999998</v>
      </c>
      <c r="H15">
        <v>4.2999999999999997E-2</v>
      </c>
      <c r="I15">
        <v>0.16500000000000001</v>
      </c>
      <c r="J15">
        <v>4.4999999999999998E-2</v>
      </c>
      <c r="K15">
        <v>175</v>
      </c>
      <c r="L15">
        <v>208</v>
      </c>
      <c r="M15">
        <v>220</v>
      </c>
      <c r="N15">
        <v>0</v>
      </c>
      <c r="O15" s="4"/>
      <c r="P15" s="4"/>
    </row>
    <row r="16" spans="1:16" x14ac:dyDescent="0.2">
      <c r="A16" t="s">
        <v>14</v>
      </c>
      <c r="B16">
        <v>109</v>
      </c>
      <c r="C16">
        <v>111</v>
      </c>
      <c r="D16">
        <v>0</v>
      </c>
      <c r="E16">
        <v>0.02</v>
      </c>
      <c r="F16">
        <v>768</v>
      </c>
      <c r="G16">
        <v>0</v>
      </c>
      <c r="H16">
        <v>2E-3</v>
      </c>
      <c r="I16">
        <v>8.4000000000000005E-2</v>
      </c>
      <c r="J16">
        <v>0</v>
      </c>
      <c r="K16">
        <v>400</v>
      </c>
      <c r="L16">
        <v>510</v>
      </c>
      <c r="M16">
        <v>600</v>
      </c>
      <c r="N16">
        <v>1.03</v>
      </c>
      <c r="O16" s="4"/>
      <c r="P16" s="4"/>
    </row>
    <row r="17" spans="1:16" x14ac:dyDescent="0.2">
      <c r="A17" t="s">
        <v>15</v>
      </c>
      <c r="B17">
        <v>109</v>
      </c>
      <c r="C17">
        <v>112</v>
      </c>
      <c r="D17">
        <v>0</v>
      </c>
      <c r="E17">
        <v>0.02</v>
      </c>
      <c r="F17">
        <v>768</v>
      </c>
      <c r="G17">
        <v>0</v>
      </c>
      <c r="H17">
        <v>2E-3</v>
      </c>
      <c r="I17">
        <v>8.4000000000000005E-2</v>
      </c>
      <c r="J17">
        <v>0</v>
      </c>
      <c r="K17">
        <v>400</v>
      </c>
      <c r="L17">
        <v>510</v>
      </c>
      <c r="M17">
        <v>600</v>
      </c>
      <c r="N17">
        <v>1.03</v>
      </c>
      <c r="O17" s="4"/>
      <c r="P17" s="4"/>
    </row>
    <row r="18" spans="1:16" x14ac:dyDescent="0.2">
      <c r="A18" t="s">
        <v>16</v>
      </c>
      <c r="B18">
        <v>110</v>
      </c>
      <c r="C18">
        <v>111</v>
      </c>
      <c r="D18">
        <v>0</v>
      </c>
      <c r="E18">
        <v>0.02</v>
      </c>
      <c r="F18">
        <v>768</v>
      </c>
      <c r="G18">
        <v>0</v>
      </c>
      <c r="H18">
        <v>2E-3</v>
      </c>
      <c r="I18">
        <v>8.4000000000000005E-2</v>
      </c>
      <c r="J18">
        <v>0</v>
      </c>
      <c r="K18">
        <v>400</v>
      </c>
      <c r="L18">
        <v>510</v>
      </c>
      <c r="M18">
        <v>600</v>
      </c>
      <c r="N18">
        <v>1.0149999999999999</v>
      </c>
      <c r="O18" s="4"/>
      <c r="P18" s="4"/>
    </row>
    <row r="19" spans="1:16" x14ac:dyDescent="0.2">
      <c r="A19" t="s">
        <v>17</v>
      </c>
      <c r="B19">
        <v>110</v>
      </c>
      <c r="C19">
        <v>112</v>
      </c>
      <c r="D19">
        <v>0</v>
      </c>
      <c r="E19">
        <v>0.02</v>
      </c>
      <c r="F19">
        <v>768</v>
      </c>
      <c r="G19">
        <v>0</v>
      </c>
      <c r="H19">
        <v>2E-3</v>
      </c>
      <c r="I19">
        <v>8.4000000000000005E-2</v>
      </c>
      <c r="J19">
        <v>0</v>
      </c>
      <c r="K19">
        <v>400</v>
      </c>
      <c r="L19">
        <v>510</v>
      </c>
      <c r="M19">
        <v>600</v>
      </c>
      <c r="N19">
        <v>1.0149999999999999</v>
      </c>
      <c r="O19" s="4"/>
      <c r="P19" s="4"/>
    </row>
    <row r="20" spans="1:16" x14ac:dyDescent="0.2">
      <c r="A20" t="s">
        <v>18</v>
      </c>
      <c r="B20">
        <v>111</v>
      </c>
      <c r="C20">
        <v>113</v>
      </c>
      <c r="D20">
        <v>33</v>
      </c>
      <c r="E20">
        <v>0.4</v>
      </c>
      <c r="F20">
        <v>11</v>
      </c>
      <c r="G20">
        <v>0.8</v>
      </c>
      <c r="H20">
        <v>6.0000000000000001E-3</v>
      </c>
      <c r="I20">
        <v>4.8000000000000001E-2</v>
      </c>
      <c r="J20">
        <v>0.1</v>
      </c>
      <c r="K20">
        <v>500</v>
      </c>
      <c r="L20">
        <v>600</v>
      </c>
      <c r="M20">
        <v>625</v>
      </c>
      <c r="N20">
        <v>0</v>
      </c>
      <c r="O20" s="4"/>
      <c r="P20" s="4"/>
    </row>
    <row r="21" spans="1:16" x14ac:dyDescent="0.2">
      <c r="A21" t="s">
        <v>19</v>
      </c>
      <c r="B21">
        <v>111</v>
      </c>
      <c r="C21">
        <v>114</v>
      </c>
      <c r="D21">
        <v>29</v>
      </c>
      <c r="E21">
        <v>0.39</v>
      </c>
      <c r="F21">
        <v>11</v>
      </c>
      <c r="G21">
        <v>0.7</v>
      </c>
      <c r="H21">
        <v>5.0000000000000001E-3</v>
      </c>
      <c r="I21">
        <v>4.2000000000000003E-2</v>
      </c>
      <c r="J21">
        <v>8.7999999999999995E-2</v>
      </c>
      <c r="K21">
        <v>500</v>
      </c>
      <c r="L21">
        <v>600</v>
      </c>
      <c r="M21">
        <v>625</v>
      </c>
      <c r="N21">
        <v>0</v>
      </c>
      <c r="O21" s="4"/>
      <c r="P21" s="4"/>
    </row>
    <row r="22" spans="1:16" x14ac:dyDescent="0.2">
      <c r="A22" t="s">
        <v>20</v>
      </c>
      <c r="B22">
        <v>112</v>
      </c>
      <c r="C22">
        <v>113</v>
      </c>
      <c r="D22">
        <v>33</v>
      </c>
      <c r="E22">
        <v>0.4</v>
      </c>
      <c r="F22">
        <v>11</v>
      </c>
      <c r="G22">
        <v>0.8</v>
      </c>
      <c r="H22">
        <v>6.0000000000000001E-3</v>
      </c>
      <c r="I22">
        <v>4.8000000000000001E-2</v>
      </c>
      <c r="J22">
        <v>0.1</v>
      </c>
      <c r="K22">
        <v>500</v>
      </c>
      <c r="L22">
        <v>600</v>
      </c>
      <c r="M22">
        <v>625</v>
      </c>
      <c r="N22">
        <v>0</v>
      </c>
      <c r="O22" s="4"/>
      <c r="P22" s="4"/>
    </row>
    <row r="23" spans="1:16" x14ac:dyDescent="0.2">
      <c r="A23" t="s">
        <v>21</v>
      </c>
      <c r="B23">
        <v>112</v>
      </c>
      <c r="C23">
        <v>123</v>
      </c>
      <c r="D23">
        <v>67</v>
      </c>
      <c r="E23">
        <v>0.52</v>
      </c>
      <c r="F23">
        <v>11</v>
      </c>
      <c r="G23">
        <v>1.6</v>
      </c>
      <c r="H23">
        <v>1.2E-2</v>
      </c>
      <c r="I23">
        <v>9.7000000000000003E-2</v>
      </c>
      <c r="J23">
        <v>0.20300000000000001</v>
      </c>
      <c r="K23">
        <v>500</v>
      </c>
      <c r="L23">
        <v>600</v>
      </c>
      <c r="M23">
        <v>625</v>
      </c>
      <c r="N23">
        <v>0</v>
      </c>
      <c r="O23" s="4"/>
      <c r="P23" s="4"/>
    </row>
    <row r="24" spans="1:16" x14ac:dyDescent="0.2">
      <c r="A24" t="s">
        <v>22</v>
      </c>
      <c r="B24">
        <v>113</v>
      </c>
      <c r="C24">
        <v>123</v>
      </c>
      <c r="D24">
        <v>60</v>
      </c>
      <c r="E24">
        <v>0.49</v>
      </c>
      <c r="F24">
        <v>11</v>
      </c>
      <c r="G24">
        <v>1.5</v>
      </c>
      <c r="H24">
        <v>1.0999999999999999E-2</v>
      </c>
      <c r="I24">
        <v>8.6999999999999994E-2</v>
      </c>
      <c r="J24">
        <v>0.182</v>
      </c>
      <c r="K24">
        <v>500</v>
      </c>
      <c r="L24">
        <v>600</v>
      </c>
      <c r="M24">
        <v>625</v>
      </c>
      <c r="N24">
        <v>0</v>
      </c>
      <c r="O24" s="4"/>
      <c r="P24" s="4"/>
    </row>
    <row r="25" spans="1:16" x14ac:dyDescent="0.2">
      <c r="A25" t="s">
        <v>23</v>
      </c>
      <c r="B25">
        <v>113</v>
      </c>
      <c r="C25">
        <v>215</v>
      </c>
      <c r="D25">
        <v>52</v>
      </c>
      <c r="E25">
        <v>0.47</v>
      </c>
      <c r="F25">
        <v>11</v>
      </c>
      <c r="G25">
        <v>1.3</v>
      </c>
      <c r="H25">
        <v>0.01</v>
      </c>
      <c r="I25">
        <v>7.4999999999999997E-2</v>
      </c>
      <c r="J25">
        <v>0.158</v>
      </c>
      <c r="K25">
        <v>500</v>
      </c>
      <c r="L25">
        <v>600</v>
      </c>
      <c r="M25">
        <v>625</v>
      </c>
      <c r="N25">
        <v>0</v>
      </c>
      <c r="O25" s="4"/>
      <c r="P25" s="4"/>
    </row>
    <row r="26" spans="1:16" x14ac:dyDescent="0.2">
      <c r="A26" t="s">
        <v>24</v>
      </c>
      <c r="B26">
        <v>114</v>
      </c>
      <c r="C26">
        <v>116</v>
      </c>
      <c r="D26">
        <v>27</v>
      </c>
      <c r="E26">
        <v>0.38</v>
      </c>
      <c r="F26">
        <v>11</v>
      </c>
      <c r="G26">
        <v>0.7</v>
      </c>
      <c r="H26">
        <v>5.0000000000000001E-3</v>
      </c>
      <c r="I26">
        <v>5.8999999999999997E-2</v>
      </c>
      <c r="J26">
        <v>8.2000000000000003E-2</v>
      </c>
      <c r="K26">
        <v>500</v>
      </c>
      <c r="L26">
        <v>600</v>
      </c>
      <c r="M26">
        <v>625</v>
      </c>
      <c r="N26">
        <v>0</v>
      </c>
      <c r="O26" s="4"/>
      <c r="P26" s="4"/>
    </row>
    <row r="27" spans="1:16" x14ac:dyDescent="0.2">
      <c r="A27" t="s">
        <v>25</v>
      </c>
      <c r="B27">
        <v>115</v>
      </c>
      <c r="C27">
        <v>116</v>
      </c>
      <c r="D27">
        <v>12</v>
      </c>
      <c r="E27">
        <v>0.33</v>
      </c>
      <c r="F27">
        <v>11</v>
      </c>
      <c r="G27">
        <v>0.3</v>
      </c>
      <c r="H27">
        <v>2E-3</v>
      </c>
      <c r="I27">
        <v>1.7000000000000001E-2</v>
      </c>
      <c r="J27">
        <v>3.5999999999999997E-2</v>
      </c>
      <c r="K27">
        <v>500</v>
      </c>
      <c r="L27">
        <v>600</v>
      </c>
      <c r="M27">
        <v>625</v>
      </c>
      <c r="N27">
        <v>0</v>
      </c>
      <c r="O27" s="4"/>
      <c r="P27" s="4"/>
    </row>
    <row r="28" spans="1:16" x14ac:dyDescent="0.2">
      <c r="A28" t="s">
        <v>26</v>
      </c>
      <c r="B28">
        <v>115</v>
      </c>
      <c r="C28">
        <v>121</v>
      </c>
      <c r="D28">
        <v>34</v>
      </c>
      <c r="E28">
        <v>0.41</v>
      </c>
      <c r="F28">
        <v>11</v>
      </c>
      <c r="G28">
        <v>0.8</v>
      </c>
      <c r="H28">
        <v>6.0000000000000001E-3</v>
      </c>
      <c r="I28">
        <v>4.9000000000000002E-2</v>
      </c>
      <c r="J28">
        <v>0.10299999999999999</v>
      </c>
      <c r="K28">
        <v>500</v>
      </c>
      <c r="L28">
        <v>600</v>
      </c>
      <c r="M28">
        <v>625</v>
      </c>
      <c r="N28">
        <v>0</v>
      </c>
      <c r="O28" s="4"/>
      <c r="P28" s="4"/>
    </row>
    <row r="29" spans="1:16" x14ac:dyDescent="0.2">
      <c r="A29" t="s">
        <v>27</v>
      </c>
      <c r="B29">
        <v>115</v>
      </c>
      <c r="C29">
        <v>121</v>
      </c>
      <c r="D29">
        <v>34</v>
      </c>
      <c r="E29">
        <v>0.41</v>
      </c>
      <c r="F29">
        <v>11</v>
      </c>
      <c r="G29">
        <v>0.8</v>
      </c>
      <c r="H29">
        <v>6.0000000000000001E-3</v>
      </c>
      <c r="I29">
        <v>4.9000000000000002E-2</v>
      </c>
      <c r="J29">
        <v>0.10299999999999999</v>
      </c>
      <c r="K29">
        <v>500</v>
      </c>
      <c r="L29">
        <v>600</v>
      </c>
      <c r="M29">
        <v>625</v>
      </c>
      <c r="N29">
        <v>0</v>
      </c>
      <c r="O29" s="4"/>
      <c r="P29" s="4"/>
    </row>
    <row r="30" spans="1:16" x14ac:dyDescent="0.2">
      <c r="A30" t="s">
        <v>28</v>
      </c>
      <c r="B30">
        <v>115</v>
      </c>
      <c r="C30">
        <v>124</v>
      </c>
      <c r="D30">
        <v>36</v>
      </c>
      <c r="E30">
        <v>0.41</v>
      </c>
      <c r="F30">
        <v>11</v>
      </c>
      <c r="G30">
        <v>0.9</v>
      </c>
      <c r="H30">
        <v>7.0000000000000001E-3</v>
      </c>
      <c r="I30">
        <v>5.1999999999999998E-2</v>
      </c>
      <c r="J30">
        <v>0.109</v>
      </c>
      <c r="K30">
        <v>500</v>
      </c>
      <c r="L30">
        <v>600</v>
      </c>
      <c r="M30">
        <v>625</v>
      </c>
      <c r="N30">
        <v>0</v>
      </c>
      <c r="O30" s="4"/>
      <c r="P30" s="4"/>
    </row>
    <row r="31" spans="1:16" x14ac:dyDescent="0.2">
      <c r="A31" t="s">
        <v>29</v>
      </c>
      <c r="B31">
        <v>116</v>
      </c>
      <c r="C31">
        <v>117</v>
      </c>
      <c r="D31">
        <v>18</v>
      </c>
      <c r="E31">
        <v>0.35</v>
      </c>
      <c r="F31">
        <v>11</v>
      </c>
      <c r="G31">
        <v>0.4</v>
      </c>
      <c r="H31">
        <v>3.0000000000000001E-3</v>
      </c>
      <c r="I31">
        <v>2.5999999999999999E-2</v>
      </c>
      <c r="J31">
        <v>5.5E-2</v>
      </c>
      <c r="K31">
        <v>500</v>
      </c>
      <c r="L31">
        <v>600</v>
      </c>
      <c r="M31">
        <v>625</v>
      </c>
      <c r="N31">
        <v>0</v>
      </c>
      <c r="O31" s="4"/>
      <c r="P31" s="4"/>
    </row>
    <row r="32" spans="1:16" x14ac:dyDescent="0.2">
      <c r="A32" t="s">
        <v>30</v>
      </c>
      <c r="B32">
        <v>116</v>
      </c>
      <c r="C32">
        <v>119</v>
      </c>
      <c r="D32">
        <v>16</v>
      </c>
      <c r="E32">
        <v>0.34</v>
      </c>
      <c r="F32">
        <v>11</v>
      </c>
      <c r="G32">
        <v>0.4</v>
      </c>
      <c r="H32">
        <v>3.0000000000000001E-3</v>
      </c>
      <c r="I32">
        <v>2.3E-2</v>
      </c>
      <c r="J32">
        <v>4.9000000000000002E-2</v>
      </c>
      <c r="K32">
        <v>500</v>
      </c>
      <c r="L32">
        <v>600</v>
      </c>
      <c r="M32">
        <v>625</v>
      </c>
      <c r="N32">
        <v>0</v>
      </c>
      <c r="O32" s="4"/>
      <c r="P32" s="4"/>
    </row>
    <row r="33" spans="1:16" x14ac:dyDescent="0.2">
      <c r="A33" t="s">
        <v>31</v>
      </c>
      <c r="B33">
        <v>117</v>
      </c>
      <c r="C33">
        <v>118</v>
      </c>
      <c r="D33">
        <v>10</v>
      </c>
      <c r="E33">
        <v>0.32</v>
      </c>
      <c r="F33">
        <v>11</v>
      </c>
      <c r="G33">
        <v>0.2</v>
      </c>
      <c r="H33">
        <v>2E-3</v>
      </c>
      <c r="I33">
        <v>1.4E-2</v>
      </c>
      <c r="J33">
        <v>0.03</v>
      </c>
      <c r="K33">
        <v>500</v>
      </c>
      <c r="L33">
        <v>600</v>
      </c>
      <c r="M33">
        <v>625</v>
      </c>
      <c r="N33">
        <v>0</v>
      </c>
      <c r="O33" s="4"/>
      <c r="P33" s="4"/>
    </row>
    <row r="34" spans="1:16" x14ac:dyDescent="0.2">
      <c r="A34" t="s">
        <v>32</v>
      </c>
      <c r="B34">
        <v>117</v>
      </c>
      <c r="C34">
        <v>122</v>
      </c>
      <c r="D34">
        <v>73</v>
      </c>
      <c r="E34">
        <v>0.54</v>
      </c>
      <c r="F34">
        <v>11</v>
      </c>
      <c r="G34">
        <v>1.8</v>
      </c>
      <c r="H34">
        <v>1.4E-2</v>
      </c>
      <c r="I34">
        <v>0.105</v>
      </c>
      <c r="J34">
        <v>0.221</v>
      </c>
      <c r="K34">
        <v>500</v>
      </c>
      <c r="L34">
        <v>600</v>
      </c>
      <c r="M34">
        <v>625</v>
      </c>
      <c r="N34">
        <v>0</v>
      </c>
      <c r="O34" s="4"/>
      <c r="P34" s="4"/>
    </row>
    <row r="35" spans="1:16" x14ac:dyDescent="0.2">
      <c r="A35" t="s">
        <v>33</v>
      </c>
      <c r="B35">
        <v>118</v>
      </c>
      <c r="C35">
        <v>121</v>
      </c>
      <c r="D35">
        <v>18</v>
      </c>
      <c r="E35">
        <v>0.35</v>
      </c>
      <c r="F35">
        <v>11</v>
      </c>
      <c r="G35">
        <v>0.4</v>
      </c>
      <c r="H35">
        <v>3.0000000000000001E-3</v>
      </c>
      <c r="I35">
        <v>2.5999999999999999E-2</v>
      </c>
      <c r="J35">
        <v>5.5E-2</v>
      </c>
      <c r="K35">
        <v>500</v>
      </c>
      <c r="L35">
        <v>600</v>
      </c>
      <c r="M35">
        <v>625</v>
      </c>
      <c r="N35">
        <v>0</v>
      </c>
      <c r="O35" s="4"/>
      <c r="P35" s="4"/>
    </row>
    <row r="36" spans="1:16" x14ac:dyDescent="0.2">
      <c r="A36" t="s">
        <v>34</v>
      </c>
      <c r="B36">
        <v>118</v>
      </c>
      <c r="C36">
        <v>121</v>
      </c>
      <c r="D36">
        <v>18</v>
      </c>
      <c r="E36">
        <v>0.35</v>
      </c>
      <c r="F36">
        <v>11</v>
      </c>
      <c r="G36">
        <v>0.4</v>
      </c>
      <c r="H36">
        <v>3.0000000000000001E-3</v>
      </c>
      <c r="I36">
        <v>2.5999999999999999E-2</v>
      </c>
      <c r="J36">
        <v>5.5E-2</v>
      </c>
      <c r="K36">
        <v>500</v>
      </c>
      <c r="L36">
        <v>600</v>
      </c>
      <c r="M36">
        <v>625</v>
      </c>
      <c r="N36">
        <v>0</v>
      </c>
      <c r="O36" s="4"/>
      <c r="P36" s="4"/>
    </row>
    <row r="37" spans="1:16" x14ac:dyDescent="0.2">
      <c r="A37" t="s">
        <v>35</v>
      </c>
      <c r="B37">
        <v>119</v>
      </c>
      <c r="C37">
        <v>120</v>
      </c>
      <c r="D37">
        <v>27.5</v>
      </c>
      <c r="E37">
        <v>0.38</v>
      </c>
      <c r="F37">
        <v>11</v>
      </c>
      <c r="G37">
        <v>0.7</v>
      </c>
      <c r="H37">
        <v>5.0000000000000001E-3</v>
      </c>
      <c r="I37">
        <v>0.04</v>
      </c>
      <c r="J37">
        <v>8.3000000000000004E-2</v>
      </c>
      <c r="K37">
        <v>500</v>
      </c>
      <c r="L37">
        <v>600</v>
      </c>
      <c r="M37">
        <v>625</v>
      </c>
      <c r="N37">
        <v>0</v>
      </c>
      <c r="O37" s="4"/>
      <c r="P37" s="4"/>
    </row>
    <row r="38" spans="1:16" x14ac:dyDescent="0.2">
      <c r="A38" t="s">
        <v>36</v>
      </c>
      <c r="B38">
        <v>119</v>
      </c>
      <c r="C38">
        <v>120</v>
      </c>
      <c r="D38">
        <v>27.5</v>
      </c>
      <c r="E38">
        <v>0.38</v>
      </c>
      <c r="F38">
        <v>11</v>
      </c>
      <c r="G38">
        <v>0.7</v>
      </c>
      <c r="H38">
        <v>5.0000000000000001E-3</v>
      </c>
      <c r="I38">
        <v>0.04</v>
      </c>
      <c r="J38">
        <v>8.3000000000000004E-2</v>
      </c>
      <c r="K38">
        <v>500</v>
      </c>
      <c r="L38">
        <v>600</v>
      </c>
      <c r="M38">
        <v>625</v>
      </c>
      <c r="N38">
        <v>0</v>
      </c>
      <c r="O38" s="4"/>
      <c r="P38" s="4"/>
    </row>
    <row r="39" spans="1:16" x14ac:dyDescent="0.2">
      <c r="A39" t="s">
        <v>37</v>
      </c>
      <c r="B39">
        <v>120</v>
      </c>
      <c r="C39">
        <v>123</v>
      </c>
      <c r="D39">
        <v>15</v>
      </c>
      <c r="E39">
        <v>0.34</v>
      </c>
      <c r="F39">
        <v>11</v>
      </c>
      <c r="G39">
        <v>0.4</v>
      </c>
      <c r="H39">
        <v>3.0000000000000001E-3</v>
      </c>
      <c r="I39">
        <v>2.1999999999999999E-2</v>
      </c>
      <c r="J39">
        <v>4.5999999999999999E-2</v>
      </c>
      <c r="K39">
        <v>500</v>
      </c>
      <c r="L39">
        <v>600</v>
      </c>
      <c r="M39">
        <v>625</v>
      </c>
      <c r="N39">
        <v>0</v>
      </c>
      <c r="O39" s="4"/>
      <c r="P39" s="4"/>
    </row>
    <row r="40" spans="1:16" x14ac:dyDescent="0.2">
      <c r="A40" t="s">
        <v>38</v>
      </c>
      <c r="B40">
        <v>120</v>
      </c>
      <c r="C40">
        <v>123</v>
      </c>
      <c r="D40">
        <v>15</v>
      </c>
      <c r="E40">
        <v>0.34</v>
      </c>
      <c r="F40">
        <v>11</v>
      </c>
      <c r="G40">
        <v>0.4</v>
      </c>
      <c r="H40">
        <v>3.0000000000000001E-3</v>
      </c>
      <c r="I40">
        <v>2.1999999999999999E-2</v>
      </c>
      <c r="J40">
        <v>4.5999999999999999E-2</v>
      </c>
      <c r="K40">
        <v>500</v>
      </c>
      <c r="L40">
        <v>600</v>
      </c>
      <c r="M40">
        <v>625</v>
      </c>
      <c r="N40">
        <v>0</v>
      </c>
      <c r="O40" s="4"/>
      <c r="P40" s="4"/>
    </row>
    <row r="41" spans="1:16" x14ac:dyDescent="0.2">
      <c r="A41" t="s">
        <v>39</v>
      </c>
      <c r="B41">
        <v>121</v>
      </c>
      <c r="C41">
        <v>122</v>
      </c>
      <c r="D41">
        <v>47</v>
      </c>
      <c r="E41">
        <v>0.45</v>
      </c>
      <c r="F41">
        <v>11</v>
      </c>
      <c r="G41">
        <v>1.2</v>
      </c>
      <c r="H41">
        <v>8.9999999999999993E-3</v>
      </c>
      <c r="I41">
        <v>6.8000000000000005E-2</v>
      </c>
      <c r="J41">
        <v>0.14199999999999999</v>
      </c>
      <c r="K41">
        <v>500</v>
      </c>
      <c r="L41">
        <v>600</v>
      </c>
      <c r="M41">
        <v>625</v>
      </c>
      <c r="N41">
        <v>0</v>
      </c>
      <c r="O41" s="4"/>
      <c r="P41" s="4"/>
    </row>
    <row r="42" spans="1:16" x14ac:dyDescent="0.2">
      <c r="A42" t="s">
        <v>40</v>
      </c>
      <c r="B42">
        <v>123</v>
      </c>
      <c r="C42">
        <v>217</v>
      </c>
      <c r="D42">
        <v>51</v>
      </c>
      <c r="E42">
        <v>0.46</v>
      </c>
      <c r="F42">
        <v>11</v>
      </c>
      <c r="G42">
        <v>1.3</v>
      </c>
      <c r="H42">
        <v>0.01</v>
      </c>
      <c r="I42">
        <v>7.3999999999999996E-2</v>
      </c>
      <c r="J42">
        <v>0.155</v>
      </c>
      <c r="K42">
        <v>500</v>
      </c>
      <c r="L42">
        <v>600</v>
      </c>
      <c r="M42">
        <v>625</v>
      </c>
      <c r="N42">
        <v>0</v>
      </c>
      <c r="O42" s="4"/>
      <c r="P42" s="4"/>
    </row>
    <row r="43" spans="1:16" x14ac:dyDescent="0.2">
      <c r="A43" t="s">
        <v>41</v>
      </c>
      <c r="B43">
        <v>201</v>
      </c>
      <c r="C43">
        <v>202</v>
      </c>
      <c r="D43">
        <v>3</v>
      </c>
      <c r="E43">
        <v>0.24</v>
      </c>
      <c r="F43">
        <v>16</v>
      </c>
      <c r="G43">
        <v>0</v>
      </c>
      <c r="H43">
        <v>3.0000000000000001E-3</v>
      </c>
      <c r="I43">
        <v>1.4E-2</v>
      </c>
      <c r="J43">
        <v>0.46100000000000002</v>
      </c>
      <c r="K43">
        <v>175</v>
      </c>
      <c r="L43">
        <v>193</v>
      </c>
      <c r="M43">
        <v>200</v>
      </c>
      <c r="N43">
        <v>0</v>
      </c>
      <c r="O43" s="4"/>
      <c r="P43" s="4"/>
    </row>
    <row r="44" spans="1:16" x14ac:dyDescent="0.2">
      <c r="A44" t="s">
        <v>42</v>
      </c>
      <c r="B44">
        <v>201</v>
      </c>
      <c r="C44">
        <v>203</v>
      </c>
      <c r="D44">
        <v>55</v>
      </c>
      <c r="E44">
        <v>0.51</v>
      </c>
      <c r="F44">
        <v>10</v>
      </c>
      <c r="G44">
        <v>2.9</v>
      </c>
      <c r="H44">
        <v>5.5E-2</v>
      </c>
      <c r="I44">
        <v>0.21099999999999999</v>
      </c>
      <c r="J44">
        <v>5.7000000000000002E-2</v>
      </c>
      <c r="K44">
        <v>175</v>
      </c>
      <c r="L44">
        <v>208</v>
      </c>
      <c r="M44">
        <v>220</v>
      </c>
      <c r="N44">
        <v>0</v>
      </c>
      <c r="O44" s="4"/>
      <c r="P44" s="4"/>
    </row>
    <row r="45" spans="1:16" x14ac:dyDescent="0.2">
      <c r="A45" t="s">
        <v>43</v>
      </c>
      <c r="B45">
        <v>201</v>
      </c>
      <c r="C45">
        <v>205</v>
      </c>
      <c r="D45">
        <v>22</v>
      </c>
      <c r="E45">
        <v>0.33</v>
      </c>
      <c r="F45">
        <v>10</v>
      </c>
      <c r="G45">
        <v>1.2</v>
      </c>
      <c r="H45">
        <v>2.1999999999999999E-2</v>
      </c>
      <c r="I45">
        <v>8.5000000000000006E-2</v>
      </c>
      <c r="J45">
        <v>2.3E-2</v>
      </c>
      <c r="K45">
        <v>175</v>
      </c>
      <c r="L45">
        <v>208</v>
      </c>
      <c r="M45">
        <v>220</v>
      </c>
      <c r="N45">
        <v>0</v>
      </c>
      <c r="O45" s="4"/>
      <c r="P45" s="4"/>
    </row>
    <row r="46" spans="1:16" x14ac:dyDescent="0.2">
      <c r="A46" t="s">
        <v>44</v>
      </c>
      <c r="B46">
        <v>202</v>
      </c>
      <c r="C46">
        <v>204</v>
      </c>
      <c r="D46">
        <v>33</v>
      </c>
      <c r="E46">
        <v>0.39</v>
      </c>
      <c r="F46">
        <v>10</v>
      </c>
      <c r="G46">
        <v>1.7</v>
      </c>
      <c r="H46">
        <v>3.3000000000000002E-2</v>
      </c>
      <c r="I46">
        <v>0.127</v>
      </c>
      <c r="J46">
        <v>3.4000000000000002E-2</v>
      </c>
      <c r="K46">
        <v>175</v>
      </c>
      <c r="L46">
        <v>208</v>
      </c>
      <c r="M46">
        <v>220</v>
      </c>
      <c r="N46">
        <v>0</v>
      </c>
      <c r="O46" s="4"/>
      <c r="P46" s="4"/>
    </row>
    <row r="47" spans="1:16" x14ac:dyDescent="0.2">
      <c r="A47" t="s">
        <v>45</v>
      </c>
      <c r="B47">
        <v>202</v>
      </c>
      <c r="C47">
        <v>206</v>
      </c>
      <c r="D47">
        <v>50</v>
      </c>
      <c r="E47">
        <v>0.48</v>
      </c>
      <c r="F47">
        <v>10</v>
      </c>
      <c r="G47">
        <v>2.6</v>
      </c>
      <c r="H47">
        <v>0.05</v>
      </c>
      <c r="I47">
        <v>0.192</v>
      </c>
      <c r="J47">
        <v>5.1999999999999998E-2</v>
      </c>
      <c r="K47">
        <v>175</v>
      </c>
      <c r="L47">
        <v>208</v>
      </c>
      <c r="M47">
        <v>220</v>
      </c>
      <c r="N47">
        <v>0</v>
      </c>
      <c r="O47" s="4"/>
      <c r="P47" s="4"/>
    </row>
    <row r="48" spans="1:16" x14ac:dyDescent="0.2">
      <c r="A48" t="s">
        <v>46</v>
      </c>
      <c r="B48">
        <v>203</v>
      </c>
      <c r="C48">
        <v>209</v>
      </c>
      <c r="D48">
        <v>31</v>
      </c>
      <c r="E48">
        <v>0.38</v>
      </c>
      <c r="F48">
        <v>10</v>
      </c>
      <c r="G48">
        <v>1.6</v>
      </c>
      <c r="H48">
        <v>3.1E-2</v>
      </c>
      <c r="I48">
        <v>0.11899999999999999</v>
      </c>
      <c r="J48">
        <v>3.2000000000000001E-2</v>
      </c>
      <c r="K48">
        <v>175</v>
      </c>
      <c r="L48">
        <v>208</v>
      </c>
      <c r="M48">
        <v>220</v>
      </c>
      <c r="N48">
        <v>0</v>
      </c>
      <c r="O48" s="4"/>
      <c r="P48" s="4"/>
    </row>
    <row r="49" spans="1:16" x14ac:dyDescent="0.2">
      <c r="A49" t="s">
        <v>47</v>
      </c>
      <c r="B49">
        <v>203</v>
      </c>
      <c r="C49">
        <v>224</v>
      </c>
      <c r="D49">
        <v>0</v>
      </c>
      <c r="E49">
        <v>0.02</v>
      </c>
      <c r="F49">
        <v>768</v>
      </c>
      <c r="G49">
        <v>0</v>
      </c>
      <c r="H49">
        <v>2E-3</v>
      </c>
      <c r="I49">
        <v>8.4000000000000005E-2</v>
      </c>
      <c r="J49">
        <v>0</v>
      </c>
      <c r="K49">
        <v>400</v>
      </c>
      <c r="L49">
        <v>510</v>
      </c>
      <c r="M49">
        <v>600</v>
      </c>
      <c r="N49">
        <v>1.0149999999999999</v>
      </c>
      <c r="O49" s="4"/>
      <c r="P49" s="4"/>
    </row>
    <row r="50" spans="1:16" x14ac:dyDescent="0.2">
      <c r="A50" t="s">
        <v>48</v>
      </c>
      <c r="B50">
        <v>204</v>
      </c>
      <c r="C50">
        <v>209</v>
      </c>
      <c r="D50">
        <v>27</v>
      </c>
      <c r="E50">
        <v>0.36</v>
      </c>
      <c r="F50">
        <v>10</v>
      </c>
      <c r="G50">
        <v>1.4</v>
      </c>
      <c r="H50">
        <v>2.7E-2</v>
      </c>
      <c r="I50">
        <v>0.104</v>
      </c>
      <c r="J50">
        <v>2.8000000000000001E-2</v>
      </c>
      <c r="K50">
        <v>175</v>
      </c>
      <c r="L50">
        <v>208</v>
      </c>
      <c r="M50">
        <v>220</v>
      </c>
      <c r="N50">
        <v>0</v>
      </c>
      <c r="O50" s="4"/>
      <c r="P50" s="4"/>
    </row>
    <row r="51" spans="1:16" x14ac:dyDescent="0.2">
      <c r="A51" t="s">
        <v>49</v>
      </c>
      <c r="B51">
        <v>205</v>
      </c>
      <c r="C51">
        <v>210</v>
      </c>
      <c r="D51">
        <v>23</v>
      </c>
      <c r="E51">
        <v>0.34</v>
      </c>
      <c r="F51">
        <v>10</v>
      </c>
      <c r="G51">
        <v>1.2</v>
      </c>
      <c r="H51">
        <v>2.3E-2</v>
      </c>
      <c r="I51">
        <v>8.7999999999999995E-2</v>
      </c>
      <c r="J51">
        <v>2.4E-2</v>
      </c>
      <c r="K51">
        <v>175</v>
      </c>
      <c r="L51">
        <v>208</v>
      </c>
      <c r="M51">
        <v>220</v>
      </c>
      <c r="N51">
        <v>0</v>
      </c>
      <c r="O51" s="4"/>
      <c r="P51" s="4"/>
    </row>
    <row r="52" spans="1:16" x14ac:dyDescent="0.2">
      <c r="A52" t="s">
        <v>50</v>
      </c>
      <c r="B52">
        <v>206</v>
      </c>
      <c r="C52">
        <v>210</v>
      </c>
      <c r="D52">
        <v>16</v>
      </c>
      <c r="E52">
        <v>0.33</v>
      </c>
      <c r="F52">
        <v>35</v>
      </c>
      <c r="G52">
        <v>0</v>
      </c>
      <c r="H52">
        <v>1.4E-2</v>
      </c>
      <c r="I52">
        <v>6.0999999999999999E-2</v>
      </c>
      <c r="J52">
        <v>2.4590000000000001</v>
      </c>
      <c r="K52">
        <v>175</v>
      </c>
      <c r="L52">
        <v>193</v>
      </c>
      <c r="M52">
        <v>200</v>
      </c>
      <c r="N52">
        <v>0</v>
      </c>
      <c r="O52" s="4"/>
      <c r="P52" s="4"/>
    </row>
    <row r="53" spans="1:16" x14ac:dyDescent="0.2">
      <c r="A53" t="s">
        <v>51</v>
      </c>
      <c r="B53">
        <v>207</v>
      </c>
      <c r="C53">
        <v>208</v>
      </c>
      <c r="D53">
        <v>16</v>
      </c>
      <c r="E53">
        <v>0.3</v>
      </c>
      <c r="F53">
        <v>10</v>
      </c>
      <c r="G53">
        <v>0.8</v>
      </c>
      <c r="H53">
        <v>1.6E-2</v>
      </c>
      <c r="I53">
        <v>6.0999999999999999E-2</v>
      </c>
      <c r="J53">
        <v>1.7000000000000001E-2</v>
      </c>
      <c r="K53">
        <v>175</v>
      </c>
      <c r="L53">
        <v>208</v>
      </c>
      <c r="M53">
        <v>220</v>
      </c>
      <c r="N53">
        <v>0</v>
      </c>
      <c r="O53" s="4"/>
      <c r="P53" s="4"/>
    </row>
    <row r="54" spans="1:16" x14ac:dyDescent="0.2">
      <c r="A54" t="s">
        <v>52</v>
      </c>
      <c r="B54">
        <v>208</v>
      </c>
      <c r="C54">
        <v>209</v>
      </c>
      <c r="D54">
        <v>43</v>
      </c>
      <c r="E54">
        <v>0.44</v>
      </c>
      <c r="F54">
        <v>10</v>
      </c>
      <c r="G54">
        <v>2.2999999999999998</v>
      </c>
      <c r="H54">
        <v>4.2999999999999997E-2</v>
      </c>
      <c r="I54">
        <v>0.16500000000000001</v>
      </c>
      <c r="J54">
        <v>4.4999999999999998E-2</v>
      </c>
      <c r="K54">
        <v>175</v>
      </c>
      <c r="L54">
        <v>208</v>
      </c>
      <c r="M54">
        <v>220</v>
      </c>
      <c r="N54">
        <v>0</v>
      </c>
      <c r="O54" s="4"/>
      <c r="P54" s="4"/>
    </row>
    <row r="55" spans="1:16" x14ac:dyDescent="0.2">
      <c r="A55" t="s">
        <v>53</v>
      </c>
      <c r="B55">
        <v>208</v>
      </c>
      <c r="C55">
        <v>210</v>
      </c>
      <c r="D55">
        <v>43</v>
      </c>
      <c r="E55">
        <v>0.44</v>
      </c>
      <c r="F55">
        <v>10</v>
      </c>
      <c r="G55">
        <v>2.2999999999999998</v>
      </c>
      <c r="H55">
        <v>4.2999999999999997E-2</v>
      </c>
      <c r="I55">
        <v>0.16500000000000001</v>
      </c>
      <c r="J55">
        <v>4.4999999999999998E-2</v>
      </c>
      <c r="K55">
        <v>175</v>
      </c>
      <c r="L55">
        <v>208</v>
      </c>
      <c r="M55">
        <v>220</v>
      </c>
      <c r="N55">
        <v>0</v>
      </c>
      <c r="O55" s="4"/>
      <c r="P55" s="4"/>
    </row>
    <row r="56" spans="1:16" x14ac:dyDescent="0.2">
      <c r="A56" t="s">
        <v>54</v>
      </c>
      <c r="B56">
        <v>209</v>
      </c>
      <c r="C56">
        <v>211</v>
      </c>
      <c r="D56">
        <v>0</v>
      </c>
      <c r="E56">
        <v>0.02</v>
      </c>
      <c r="F56">
        <v>768</v>
      </c>
      <c r="G56">
        <v>0</v>
      </c>
      <c r="H56">
        <v>2E-3</v>
      </c>
      <c r="I56">
        <v>8.4000000000000005E-2</v>
      </c>
      <c r="J56">
        <v>0</v>
      </c>
      <c r="K56">
        <v>400</v>
      </c>
      <c r="L56">
        <v>510</v>
      </c>
      <c r="M56">
        <v>600</v>
      </c>
      <c r="N56">
        <v>1.03</v>
      </c>
      <c r="O56" s="4"/>
      <c r="P56" s="4"/>
    </row>
    <row r="57" spans="1:16" x14ac:dyDescent="0.2">
      <c r="A57" t="s">
        <v>55</v>
      </c>
      <c r="B57">
        <v>209</v>
      </c>
      <c r="C57">
        <v>212</v>
      </c>
      <c r="D57">
        <v>0</v>
      </c>
      <c r="E57">
        <v>0.02</v>
      </c>
      <c r="F57">
        <v>768</v>
      </c>
      <c r="G57">
        <v>0</v>
      </c>
      <c r="H57">
        <v>2E-3</v>
      </c>
      <c r="I57">
        <v>8.4000000000000005E-2</v>
      </c>
      <c r="J57">
        <v>0</v>
      </c>
      <c r="K57">
        <v>400</v>
      </c>
      <c r="L57">
        <v>510</v>
      </c>
      <c r="M57">
        <v>600</v>
      </c>
      <c r="N57">
        <v>1.03</v>
      </c>
      <c r="O57" s="4"/>
      <c r="P57" s="4"/>
    </row>
    <row r="58" spans="1:16" x14ac:dyDescent="0.2">
      <c r="A58" t="s">
        <v>56</v>
      </c>
      <c r="B58">
        <v>210</v>
      </c>
      <c r="C58">
        <v>211</v>
      </c>
      <c r="D58">
        <v>0</v>
      </c>
      <c r="E58">
        <v>0.02</v>
      </c>
      <c r="F58">
        <v>768</v>
      </c>
      <c r="G58">
        <v>0</v>
      </c>
      <c r="H58">
        <v>2E-3</v>
      </c>
      <c r="I58">
        <v>8.4000000000000005E-2</v>
      </c>
      <c r="J58">
        <v>0</v>
      </c>
      <c r="K58">
        <v>400</v>
      </c>
      <c r="L58">
        <v>510</v>
      </c>
      <c r="M58">
        <v>600</v>
      </c>
      <c r="N58">
        <v>1.0149999999999999</v>
      </c>
      <c r="O58" s="4"/>
      <c r="P58" s="4"/>
    </row>
    <row r="59" spans="1:16" x14ac:dyDescent="0.2">
      <c r="A59" t="s">
        <v>57</v>
      </c>
      <c r="B59">
        <v>210</v>
      </c>
      <c r="C59">
        <v>212</v>
      </c>
      <c r="D59">
        <v>0</v>
      </c>
      <c r="E59">
        <v>0.02</v>
      </c>
      <c r="F59">
        <v>768</v>
      </c>
      <c r="G59">
        <v>0</v>
      </c>
      <c r="H59">
        <v>2E-3</v>
      </c>
      <c r="I59">
        <v>8.4000000000000005E-2</v>
      </c>
      <c r="J59">
        <v>0</v>
      </c>
      <c r="K59">
        <v>400</v>
      </c>
      <c r="L59">
        <v>510</v>
      </c>
      <c r="M59">
        <v>600</v>
      </c>
      <c r="N59">
        <v>1.0149999999999999</v>
      </c>
      <c r="O59" s="4"/>
      <c r="P59" s="4"/>
    </row>
    <row r="60" spans="1:16" x14ac:dyDescent="0.2">
      <c r="A60" t="s">
        <v>58</v>
      </c>
      <c r="B60">
        <v>211</v>
      </c>
      <c r="C60">
        <v>213</v>
      </c>
      <c r="D60">
        <v>33</v>
      </c>
      <c r="E60">
        <v>0.4</v>
      </c>
      <c r="F60">
        <v>11</v>
      </c>
      <c r="G60">
        <v>0.8</v>
      </c>
      <c r="H60">
        <v>6.0000000000000001E-3</v>
      </c>
      <c r="I60">
        <v>4.8000000000000001E-2</v>
      </c>
      <c r="J60">
        <v>0.1</v>
      </c>
      <c r="K60">
        <v>500</v>
      </c>
      <c r="L60">
        <v>600</v>
      </c>
      <c r="M60">
        <v>625</v>
      </c>
      <c r="N60">
        <v>0</v>
      </c>
      <c r="O60" s="4"/>
      <c r="P60" s="4"/>
    </row>
    <row r="61" spans="1:16" x14ac:dyDescent="0.2">
      <c r="A61" t="s">
        <v>59</v>
      </c>
      <c r="B61">
        <v>211</v>
      </c>
      <c r="C61">
        <v>214</v>
      </c>
      <c r="D61">
        <v>29</v>
      </c>
      <c r="E61">
        <v>0.39</v>
      </c>
      <c r="F61">
        <v>11</v>
      </c>
      <c r="G61">
        <v>0.7</v>
      </c>
      <c r="H61">
        <v>5.0000000000000001E-3</v>
      </c>
      <c r="I61">
        <v>4.2000000000000003E-2</v>
      </c>
      <c r="J61">
        <v>8.7999999999999995E-2</v>
      </c>
      <c r="K61">
        <v>500</v>
      </c>
      <c r="L61">
        <v>600</v>
      </c>
      <c r="M61">
        <v>625</v>
      </c>
      <c r="N61">
        <v>0</v>
      </c>
      <c r="O61" s="4"/>
      <c r="P61" s="4"/>
    </row>
    <row r="62" spans="1:16" x14ac:dyDescent="0.2">
      <c r="A62" t="s">
        <v>60</v>
      </c>
      <c r="B62">
        <v>212</v>
      </c>
      <c r="C62">
        <v>213</v>
      </c>
      <c r="D62">
        <v>33</v>
      </c>
      <c r="E62">
        <v>0.4</v>
      </c>
      <c r="F62">
        <v>11</v>
      </c>
      <c r="G62">
        <v>0.8</v>
      </c>
      <c r="H62">
        <v>6.0000000000000001E-3</v>
      </c>
      <c r="I62">
        <v>4.8000000000000001E-2</v>
      </c>
      <c r="J62">
        <v>0.1</v>
      </c>
      <c r="K62">
        <v>500</v>
      </c>
      <c r="L62">
        <v>600</v>
      </c>
      <c r="M62">
        <v>625</v>
      </c>
      <c r="N62">
        <v>0</v>
      </c>
      <c r="O62" s="4"/>
      <c r="P62" s="4"/>
    </row>
    <row r="63" spans="1:16" x14ac:dyDescent="0.2">
      <c r="A63" t="s">
        <v>61</v>
      </c>
      <c r="B63">
        <v>212</v>
      </c>
      <c r="C63">
        <v>223</v>
      </c>
      <c r="D63">
        <v>67</v>
      </c>
      <c r="E63">
        <v>0.52</v>
      </c>
      <c r="F63">
        <v>11</v>
      </c>
      <c r="G63">
        <v>1.6</v>
      </c>
      <c r="H63">
        <v>1.2E-2</v>
      </c>
      <c r="I63">
        <v>9.7000000000000003E-2</v>
      </c>
      <c r="J63">
        <v>0.20300000000000001</v>
      </c>
      <c r="K63">
        <v>500</v>
      </c>
      <c r="L63">
        <v>600</v>
      </c>
      <c r="M63">
        <v>625</v>
      </c>
      <c r="N63">
        <v>0</v>
      </c>
      <c r="O63" s="4"/>
      <c r="P63" s="4"/>
    </row>
    <row r="64" spans="1:16" x14ac:dyDescent="0.2">
      <c r="A64" t="s">
        <v>62</v>
      </c>
      <c r="B64">
        <v>213</v>
      </c>
      <c r="C64">
        <v>223</v>
      </c>
      <c r="D64">
        <v>60</v>
      </c>
      <c r="E64">
        <v>0.49</v>
      </c>
      <c r="F64">
        <v>11</v>
      </c>
      <c r="G64">
        <v>1.5</v>
      </c>
      <c r="H64">
        <v>1.0999999999999999E-2</v>
      </c>
      <c r="I64">
        <v>8.6999999999999994E-2</v>
      </c>
      <c r="J64">
        <v>0.182</v>
      </c>
      <c r="K64">
        <v>500</v>
      </c>
      <c r="L64">
        <v>600</v>
      </c>
      <c r="M64">
        <v>625</v>
      </c>
      <c r="N64">
        <v>0</v>
      </c>
      <c r="O64" s="4"/>
      <c r="P64" s="4"/>
    </row>
    <row r="65" spans="1:16" x14ac:dyDescent="0.2">
      <c r="A65" t="s">
        <v>63</v>
      </c>
      <c r="B65">
        <v>214</v>
      </c>
      <c r="C65">
        <v>216</v>
      </c>
      <c r="D65">
        <v>27</v>
      </c>
      <c r="E65">
        <v>0.38</v>
      </c>
      <c r="F65">
        <v>11</v>
      </c>
      <c r="G65">
        <v>0.7</v>
      </c>
      <c r="H65">
        <v>5.0000000000000001E-3</v>
      </c>
      <c r="I65">
        <v>5.8999999999999997E-2</v>
      </c>
      <c r="J65">
        <v>8.2000000000000003E-2</v>
      </c>
      <c r="K65">
        <v>500</v>
      </c>
      <c r="L65">
        <v>600</v>
      </c>
      <c r="M65">
        <v>625</v>
      </c>
      <c r="N65">
        <v>0</v>
      </c>
      <c r="O65" s="4"/>
      <c r="P65" s="4"/>
    </row>
    <row r="66" spans="1:16" x14ac:dyDescent="0.2">
      <c r="A66" t="s">
        <v>64</v>
      </c>
      <c r="B66">
        <v>215</v>
      </c>
      <c r="C66">
        <v>216</v>
      </c>
      <c r="D66">
        <v>12</v>
      </c>
      <c r="E66">
        <v>0.33</v>
      </c>
      <c r="F66">
        <v>11</v>
      </c>
      <c r="G66">
        <v>0.3</v>
      </c>
      <c r="H66">
        <v>2E-3</v>
      </c>
      <c r="I66">
        <v>1.7000000000000001E-2</v>
      </c>
      <c r="J66">
        <v>3.5999999999999997E-2</v>
      </c>
      <c r="K66">
        <v>500</v>
      </c>
      <c r="L66">
        <v>600</v>
      </c>
      <c r="M66">
        <v>625</v>
      </c>
      <c r="N66">
        <v>0</v>
      </c>
      <c r="O66" s="4"/>
      <c r="P66" s="4"/>
    </row>
    <row r="67" spans="1:16" x14ac:dyDescent="0.2">
      <c r="A67" t="s">
        <v>65</v>
      </c>
      <c r="B67">
        <v>215</v>
      </c>
      <c r="C67">
        <v>221</v>
      </c>
      <c r="D67">
        <v>34</v>
      </c>
      <c r="E67">
        <v>0.41</v>
      </c>
      <c r="F67">
        <v>11</v>
      </c>
      <c r="G67">
        <v>0.8</v>
      </c>
      <c r="H67">
        <v>6.0000000000000001E-3</v>
      </c>
      <c r="I67">
        <v>4.9000000000000002E-2</v>
      </c>
      <c r="J67">
        <v>0.10299999999999999</v>
      </c>
      <c r="K67">
        <v>500</v>
      </c>
      <c r="L67">
        <v>600</v>
      </c>
      <c r="M67">
        <v>625</v>
      </c>
      <c r="N67">
        <v>0</v>
      </c>
      <c r="O67" s="4"/>
      <c r="P67" s="4"/>
    </row>
    <row r="68" spans="1:16" x14ac:dyDescent="0.2">
      <c r="A68" t="s">
        <v>66</v>
      </c>
      <c r="B68">
        <v>215</v>
      </c>
      <c r="C68">
        <v>221</v>
      </c>
      <c r="D68">
        <v>34</v>
      </c>
      <c r="E68">
        <v>0.41</v>
      </c>
      <c r="F68">
        <v>11</v>
      </c>
      <c r="G68">
        <v>0.8</v>
      </c>
      <c r="H68">
        <v>6.0000000000000001E-3</v>
      </c>
      <c r="I68">
        <v>4.9000000000000002E-2</v>
      </c>
      <c r="J68">
        <v>0.10299999999999999</v>
      </c>
      <c r="K68">
        <v>500</v>
      </c>
      <c r="L68">
        <v>600</v>
      </c>
      <c r="M68">
        <v>625</v>
      </c>
      <c r="N68">
        <v>0</v>
      </c>
      <c r="O68" s="4"/>
      <c r="P68" s="4"/>
    </row>
    <row r="69" spans="1:16" x14ac:dyDescent="0.2">
      <c r="A69" t="s">
        <v>67</v>
      </c>
      <c r="B69">
        <v>215</v>
      </c>
      <c r="C69">
        <v>224</v>
      </c>
      <c r="D69">
        <v>36</v>
      </c>
      <c r="E69">
        <v>0.41</v>
      </c>
      <c r="F69">
        <v>11</v>
      </c>
      <c r="G69">
        <v>0.9</v>
      </c>
      <c r="H69">
        <v>7.0000000000000001E-3</v>
      </c>
      <c r="I69">
        <v>5.1999999999999998E-2</v>
      </c>
      <c r="J69">
        <v>0.109</v>
      </c>
      <c r="K69">
        <v>500</v>
      </c>
      <c r="L69">
        <v>600</v>
      </c>
      <c r="M69">
        <v>625</v>
      </c>
      <c r="N69">
        <v>0</v>
      </c>
      <c r="O69" s="4"/>
      <c r="P69" s="4"/>
    </row>
    <row r="70" spans="1:16" x14ac:dyDescent="0.2">
      <c r="A70" t="s">
        <v>68</v>
      </c>
      <c r="B70">
        <v>216</v>
      </c>
      <c r="C70">
        <v>217</v>
      </c>
      <c r="D70">
        <v>18</v>
      </c>
      <c r="E70">
        <v>0.35</v>
      </c>
      <c r="F70">
        <v>11</v>
      </c>
      <c r="G70">
        <v>0.4</v>
      </c>
      <c r="H70">
        <v>3.0000000000000001E-3</v>
      </c>
      <c r="I70">
        <v>2.5999999999999999E-2</v>
      </c>
      <c r="J70">
        <v>5.5E-2</v>
      </c>
      <c r="K70">
        <v>500</v>
      </c>
      <c r="L70">
        <v>600</v>
      </c>
      <c r="M70">
        <v>625</v>
      </c>
      <c r="N70">
        <v>0</v>
      </c>
      <c r="O70" s="4"/>
      <c r="P70" s="4"/>
    </row>
    <row r="71" spans="1:16" x14ac:dyDescent="0.2">
      <c r="A71" t="s">
        <v>69</v>
      </c>
      <c r="B71">
        <v>216</v>
      </c>
      <c r="C71">
        <v>219</v>
      </c>
      <c r="D71">
        <v>16</v>
      </c>
      <c r="E71">
        <v>0.34</v>
      </c>
      <c r="F71">
        <v>11</v>
      </c>
      <c r="G71">
        <v>0.4</v>
      </c>
      <c r="H71">
        <v>3.0000000000000001E-3</v>
      </c>
      <c r="I71">
        <v>2.3E-2</v>
      </c>
      <c r="J71">
        <v>4.9000000000000002E-2</v>
      </c>
      <c r="K71">
        <v>500</v>
      </c>
      <c r="L71">
        <v>600</v>
      </c>
      <c r="M71">
        <v>625</v>
      </c>
      <c r="N71">
        <v>0</v>
      </c>
      <c r="O71" s="4"/>
      <c r="P71" s="4"/>
    </row>
    <row r="72" spans="1:16" x14ac:dyDescent="0.2">
      <c r="A72" t="s">
        <v>70</v>
      </c>
      <c r="B72">
        <v>217</v>
      </c>
      <c r="C72">
        <v>218</v>
      </c>
      <c r="D72">
        <v>10</v>
      </c>
      <c r="E72">
        <v>0.32</v>
      </c>
      <c r="F72">
        <v>11</v>
      </c>
      <c r="G72">
        <v>0.2</v>
      </c>
      <c r="H72">
        <v>2E-3</v>
      </c>
      <c r="I72">
        <v>1.4E-2</v>
      </c>
      <c r="J72">
        <v>0.03</v>
      </c>
      <c r="K72">
        <v>500</v>
      </c>
      <c r="L72">
        <v>600</v>
      </c>
      <c r="M72">
        <v>625</v>
      </c>
      <c r="N72">
        <v>0</v>
      </c>
      <c r="O72" s="4"/>
      <c r="P72" s="4"/>
    </row>
    <row r="73" spans="1:16" x14ac:dyDescent="0.2">
      <c r="A73" t="s">
        <v>71</v>
      </c>
      <c r="B73">
        <v>217</v>
      </c>
      <c r="C73">
        <v>222</v>
      </c>
      <c r="D73">
        <v>73</v>
      </c>
      <c r="E73">
        <v>0.54</v>
      </c>
      <c r="F73">
        <v>11</v>
      </c>
      <c r="G73">
        <v>1.8</v>
      </c>
      <c r="H73">
        <v>1.4E-2</v>
      </c>
      <c r="I73">
        <v>0.105</v>
      </c>
      <c r="J73">
        <v>0.221</v>
      </c>
      <c r="K73">
        <v>500</v>
      </c>
      <c r="L73">
        <v>600</v>
      </c>
      <c r="M73">
        <v>625</v>
      </c>
      <c r="N73">
        <v>0</v>
      </c>
      <c r="O73" s="4"/>
      <c r="P73" s="4"/>
    </row>
    <row r="74" spans="1:16" x14ac:dyDescent="0.2">
      <c r="A74" t="s">
        <v>72</v>
      </c>
      <c r="B74">
        <v>218</v>
      </c>
      <c r="C74">
        <v>221</v>
      </c>
      <c r="D74">
        <v>18</v>
      </c>
      <c r="E74">
        <v>0.35</v>
      </c>
      <c r="F74">
        <v>11</v>
      </c>
      <c r="G74">
        <v>0.4</v>
      </c>
      <c r="H74">
        <v>3.0000000000000001E-3</v>
      </c>
      <c r="I74">
        <v>2.5999999999999999E-2</v>
      </c>
      <c r="J74">
        <v>5.5E-2</v>
      </c>
      <c r="K74">
        <v>500</v>
      </c>
      <c r="L74">
        <v>600</v>
      </c>
      <c r="M74">
        <v>625</v>
      </c>
      <c r="N74">
        <v>0</v>
      </c>
      <c r="O74" s="4"/>
      <c r="P74" s="4"/>
    </row>
    <row r="75" spans="1:16" x14ac:dyDescent="0.2">
      <c r="A75" t="s">
        <v>73</v>
      </c>
      <c r="B75">
        <v>218</v>
      </c>
      <c r="C75">
        <v>221</v>
      </c>
      <c r="D75">
        <v>18</v>
      </c>
      <c r="E75">
        <v>0.35</v>
      </c>
      <c r="F75">
        <v>11</v>
      </c>
      <c r="G75">
        <v>0.4</v>
      </c>
      <c r="H75">
        <v>3.0000000000000001E-3</v>
      </c>
      <c r="I75">
        <v>2.5999999999999999E-2</v>
      </c>
      <c r="J75">
        <v>5.5E-2</v>
      </c>
      <c r="K75">
        <v>500</v>
      </c>
      <c r="L75">
        <v>600</v>
      </c>
      <c r="M75">
        <v>625</v>
      </c>
      <c r="N75">
        <v>0</v>
      </c>
      <c r="O75" s="4"/>
      <c r="P75" s="4"/>
    </row>
    <row r="76" spans="1:16" x14ac:dyDescent="0.2">
      <c r="A76" t="s">
        <v>74</v>
      </c>
      <c r="B76">
        <v>219</v>
      </c>
      <c r="C76">
        <v>220</v>
      </c>
      <c r="D76">
        <v>27.5</v>
      </c>
      <c r="E76">
        <v>0.38</v>
      </c>
      <c r="F76">
        <v>11</v>
      </c>
      <c r="G76">
        <v>0.7</v>
      </c>
      <c r="H76">
        <v>5.0000000000000001E-3</v>
      </c>
      <c r="I76">
        <v>0.04</v>
      </c>
      <c r="J76">
        <v>8.3000000000000004E-2</v>
      </c>
      <c r="K76">
        <v>500</v>
      </c>
      <c r="L76">
        <v>600</v>
      </c>
      <c r="M76">
        <v>625</v>
      </c>
      <c r="N76">
        <v>0</v>
      </c>
      <c r="O76" s="4"/>
      <c r="P76" s="4"/>
    </row>
    <row r="77" spans="1:16" x14ac:dyDescent="0.2">
      <c r="A77" t="s">
        <v>75</v>
      </c>
      <c r="B77">
        <v>219</v>
      </c>
      <c r="C77">
        <v>220</v>
      </c>
      <c r="D77">
        <v>27.5</v>
      </c>
      <c r="E77">
        <v>0.38</v>
      </c>
      <c r="F77">
        <v>11</v>
      </c>
      <c r="G77">
        <v>0.7</v>
      </c>
      <c r="H77">
        <v>5.0000000000000001E-3</v>
      </c>
      <c r="I77">
        <v>0.04</v>
      </c>
      <c r="J77">
        <v>8.3000000000000004E-2</v>
      </c>
      <c r="K77">
        <v>500</v>
      </c>
      <c r="L77">
        <v>600</v>
      </c>
      <c r="M77">
        <v>625</v>
      </c>
      <c r="N77">
        <v>0</v>
      </c>
      <c r="O77" s="4"/>
      <c r="P77" s="4"/>
    </row>
    <row r="78" spans="1:16" x14ac:dyDescent="0.2">
      <c r="A78" t="s">
        <v>76</v>
      </c>
      <c r="B78">
        <v>220</v>
      </c>
      <c r="C78">
        <v>223</v>
      </c>
      <c r="D78">
        <v>15</v>
      </c>
      <c r="E78">
        <v>0.34</v>
      </c>
      <c r="F78">
        <v>11</v>
      </c>
      <c r="G78">
        <v>0.4</v>
      </c>
      <c r="H78">
        <v>3.0000000000000001E-3</v>
      </c>
      <c r="I78">
        <v>2.1999999999999999E-2</v>
      </c>
      <c r="J78">
        <v>4.5999999999999999E-2</v>
      </c>
      <c r="K78">
        <v>500</v>
      </c>
      <c r="L78">
        <v>600</v>
      </c>
      <c r="M78">
        <v>625</v>
      </c>
      <c r="N78">
        <v>0</v>
      </c>
      <c r="O78" s="4"/>
      <c r="P78" s="4"/>
    </row>
    <row r="79" spans="1:16" x14ac:dyDescent="0.2">
      <c r="A79" t="s">
        <v>77</v>
      </c>
      <c r="B79">
        <v>220</v>
      </c>
      <c r="C79">
        <v>223</v>
      </c>
      <c r="D79">
        <v>15</v>
      </c>
      <c r="E79">
        <v>0.34</v>
      </c>
      <c r="F79">
        <v>11</v>
      </c>
      <c r="G79">
        <v>0.4</v>
      </c>
      <c r="H79">
        <v>3.0000000000000001E-3</v>
      </c>
      <c r="I79">
        <v>2.1999999999999999E-2</v>
      </c>
      <c r="J79">
        <v>4.5999999999999999E-2</v>
      </c>
      <c r="K79">
        <v>500</v>
      </c>
      <c r="L79">
        <v>600</v>
      </c>
      <c r="M79">
        <v>625</v>
      </c>
      <c r="N79">
        <v>0</v>
      </c>
      <c r="O79" s="4"/>
      <c r="P79" s="4"/>
    </row>
    <row r="80" spans="1:16" x14ac:dyDescent="0.2">
      <c r="A80" t="s">
        <v>78</v>
      </c>
      <c r="B80">
        <v>221</v>
      </c>
      <c r="C80">
        <v>222</v>
      </c>
      <c r="D80">
        <v>47</v>
      </c>
      <c r="E80">
        <v>0.45</v>
      </c>
      <c r="F80">
        <v>11</v>
      </c>
      <c r="G80">
        <v>1.2</v>
      </c>
      <c r="H80">
        <v>8.9999999999999993E-3</v>
      </c>
      <c r="I80">
        <v>6.8000000000000005E-2</v>
      </c>
      <c r="J80">
        <v>0.14199999999999999</v>
      </c>
      <c r="K80">
        <v>500</v>
      </c>
      <c r="L80">
        <v>600</v>
      </c>
      <c r="M80">
        <v>625</v>
      </c>
      <c r="N80">
        <v>0</v>
      </c>
      <c r="O80" s="4"/>
      <c r="P80" s="4"/>
    </row>
    <row r="81" spans="1:16" x14ac:dyDescent="0.2">
      <c r="A81" t="s">
        <v>79</v>
      </c>
      <c r="B81">
        <v>301</v>
      </c>
      <c r="C81">
        <v>302</v>
      </c>
      <c r="D81">
        <v>3</v>
      </c>
      <c r="E81">
        <v>0.24</v>
      </c>
      <c r="F81">
        <v>16</v>
      </c>
      <c r="G81">
        <v>0</v>
      </c>
      <c r="H81">
        <v>3.0000000000000001E-3</v>
      </c>
      <c r="I81">
        <v>1.4E-2</v>
      </c>
      <c r="J81">
        <v>0.46100000000000002</v>
      </c>
      <c r="K81">
        <v>175</v>
      </c>
      <c r="L81">
        <v>193</v>
      </c>
      <c r="M81">
        <v>200</v>
      </c>
      <c r="N81">
        <v>0</v>
      </c>
      <c r="O81" s="4"/>
      <c r="P81" s="4"/>
    </row>
    <row r="82" spans="1:16" x14ac:dyDescent="0.2">
      <c r="A82" t="s">
        <v>80</v>
      </c>
      <c r="B82">
        <v>301</v>
      </c>
      <c r="C82">
        <v>303</v>
      </c>
      <c r="D82">
        <v>55</v>
      </c>
      <c r="E82">
        <v>0.51</v>
      </c>
      <c r="F82">
        <v>10</v>
      </c>
      <c r="G82">
        <v>2.9</v>
      </c>
      <c r="H82">
        <v>5.5E-2</v>
      </c>
      <c r="I82">
        <v>0.21099999999999999</v>
      </c>
      <c r="J82">
        <v>5.7000000000000002E-2</v>
      </c>
      <c r="K82">
        <v>175</v>
      </c>
      <c r="L82">
        <v>208</v>
      </c>
      <c r="M82">
        <v>220</v>
      </c>
      <c r="N82">
        <v>0</v>
      </c>
      <c r="O82" s="4"/>
      <c r="P82" s="4"/>
    </row>
    <row r="83" spans="1:16" x14ac:dyDescent="0.2">
      <c r="A83" t="s">
        <v>81</v>
      </c>
      <c r="B83">
        <v>301</v>
      </c>
      <c r="C83">
        <v>305</v>
      </c>
      <c r="D83">
        <v>22</v>
      </c>
      <c r="E83">
        <v>0.33</v>
      </c>
      <c r="F83">
        <v>10</v>
      </c>
      <c r="G83">
        <v>1.2</v>
      </c>
      <c r="H83">
        <v>2.1999999999999999E-2</v>
      </c>
      <c r="I83">
        <v>8.5000000000000006E-2</v>
      </c>
      <c r="J83">
        <v>2.3E-2</v>
      </c>
      <c r="K83">
        <v>175</v>
      </c>
      <c r="L83">
        <v>208</v>
      </c>
      <c r="M83">
        <v>220</v>
      </c>
      <c r="N83">
        <v>0</v>
      </c>
      <c r="O83" s="4"/>
      <c r="P83" s="4"/>
    </row>
    <row r="84" spans="1:16" x14ac:dyDescent="0.2">
      <c r="A84" t="s">
        <v>82</v>
      </c>
      <c r="B84">
        <v>302</v>
      </c>
      <c r="C84">
        <v>304</v>
      </c>
      <c r="D84">
        <v>33</v>
      </c>
      <c r="E84">
        <v>0.39</v>
      </c>
      <c r="F84">
        <v>10</v>
      </c>
      <c r="G84">
        <v>1.7</v>
      </c>
      <c r="H84">
        <v>3.3000000000000002E-2</v>
      </c>
      <c r="I84">
        <v>0.127</v>
      </c>
      <c r="J84">
        <v>3.4000000000000002E-2</v>
      </c>
      <c r="K84">
        <v>175</v>
      </c>
      <c r="L84">
        <v>208</v>
      </c>
      <c r="M84">
        <v>220</v>
      </c>
      <c r="N84">
        <v>0</v>
      </c>
      <c r="O84" s="4"/>
      <c r="P84" s="4"/>
    </row>
    <row r="85" spans="1:16" x14ac:dyDescent="0.2">
      <c r="A85" t="s">
        <v>83</v>
      </c>
      <c r="B85">
        <v>302</v>
      </c>
      <c r="C85">
        <v>306</v>
      </c>
      <c r="D85">
        <v>50</v>
      </c>
      <c r="E85">
        <v>0.48</v>
      </c>
      <c r="F85">
        <v>10</v>
      </c>
      <c r="G85">
        <v>2.6</v>
      </c>
      <c r="H85">
        <v>0.05</v>
      </c>
      <c r="I85">
        <v>0.192</v>
      </c>
      <c r="J85">
        <v>5.1999999999999998E-2</v>
      </c>
      <c r="K85">
        <v>175</v>
      </c>
      <c r="L85">
        <v>208</v>
      </c>
      <c r="M85">
        <v>220</v>
      </c>
      <c r="N85">
        <v>0</v>
      </c>
      <c r="O85" s="4"/>
      <c r="P85" s="4"/>
    </row>
    <row r="86" spans="1:16" x14ac:dyDescent="0.2">
      <c r="A86" t="s">
        <v>84</v>
      </c>
      <c r="B86">
        <v>303</v>
      </c>
      <c r="C86">
        <v>309</v>
      </c>
      <c r="D86">
        <v>31</v>
      </c>
      <c r="E86">
        <v>0.38</v>
      </c>
      <c r="F86">
        <v>10</v>
      </c>
      <c r="G86">
        <v>1.6</v>
      </c>
      <c r="H86">
        <v>3.1E-2</v>
      </c>
      <c r="I86">
        <v>0.11899999999999999</v>
      </c>
      <c r="J86">
        <v>3.2000000000000001E-2</v>
      </c>
      <c r="K86">
        <v>175</v>
      </c>
      <c r="L86">
        <v>208</v>
      </c>
      <c r="M86">
        <v>220</v>
      </c>
      <c r="N86">
        <v>0</v>
      </c>
      <c r="O86" s="4"/>
      <c r="P86" s="4"/>
    </row>
    <row r="87" spans="1:16" x14ac:dyDescent="0.2">
      <c r="A87" t="s">
        <v>85</v>
      </c>
      <c r="B87">
        <v>303</v>
      </c>
      <c r="C87">
        <v>324</v>
      </c>
      <c r="D87">
        <v>0</v>
      </c>
      <c r="E87">
        <v>0.02</v>
      </c>
      <c r="F87">
        <v>768</v>
      </c>
      <c r="G87">
        <v>0</v>
      </c>
      <c r="H87">
        <v>2E-3</v>
      </c>
      <c r="I87">
        <v>8.4000000000000005E-2</v>
      </c>
      <c r="J87">
        <v>0</v>
      </c>
      <c r="K87">
        <v>400</v>
      </c>
      <c r="L87">
        <v>510</v>
      </c>
      <c r="M87">
        <v>600</v>
      </c>
      <c r="N87">
        <v>1.0149999999999999</v>
      </c>
      <c r="O87" s="4"/>
      <c r="P87" s="4"/>
    </row>
    <row r="88" spans="1:16" x14ac:dyDescent="0.2">
      <c r="A88" t="s">
        <v>86</v>
      </c>
      <c r="B88">
        <v>304</v>
      </c>
      <c r="C88">
        <v>309</v>
      </c>
      <c r="D88">
        <v>27</v>
      </c>
      <c r="E88">
        <v>0.36</v>
      </c>
      <c r="F88">
        <v>10</v>
      </c>
      <c r="G88">
        <v>1.4</v>
      </c>
      <c r="H88">
        <v>2.7E-2</v>
      </c>
      <c r="I88">
        <v>0.104</v>
      </c>
      <c r="J88">
        <v>2.8000000000000001E-2</v>
      </c>
      <c r="K88">
        <v>175</v>
      </c>
      <c r="L88">
        <v>208</v>
      </c>
      <c r="M88">
        <v>220</v>
      </c>
      <c r="N88">
        <v>0</v>
      </c>
      <c r="O88" s="4"/>
      <c r="P88" s="4"/>
    </row>
    <row r="89" spans="1:16" x14ac:dyDescent="0.2">
      <c r="A89" t="s">
        <v>87</v>
      </c>
      <c r="B89">
        <v>305</v>
      </c>
      <c r="C89">
        <v>310</v>
      </c>
      <c r="D89">
        <v>23</v>
      </c>
      <c r="E89">
        <v>0.34</v>
      </c>
      <c r="F89">
        <v>10</v>
      </c>
      <c r="G89">
        <v>1.2</v>
      </c>
      <c r="H89">
        <v>2.3E-2</v>
      </c>
      <c r="I89">
        <v>8.7999999999999995E-2</v>
      </c>
      <c r="J89">
        <v>2.4E-2</v>
      </c>
      <c r="K89">
        <v>175</v>
      </c>
      <c r="L89">
        <v>208</v>
      </c>
      <c r="M89">
        <v>220</v>
      </c>
      <c r="N89">
        <v>0</v>
      </c>
      <c r="O89" s="4"/>
      <c r="P89" s="4"/>
    </row>
    <row r="90" spans="1:16" x14ac:dyDescent="0.2">
      <c r="A90" t="s">
        <v>88</v>
      </c>
      <c r="B90">
        <v>306</v>
      </c>
      <c r="C90">
        <v>310</v>
      </c>
      <c r="D90">
        <v>16</v>
      </c>
      <c r="E90">
        <v>0.33</v>
      </c>
      <c r="F90">
        <v>35</v>
      </c>
      <c r="G90">
        <v>0</v>
      </c>
      <c r="H90">
        <v>1.4E-2</v>
      </c>
      <c r="I90">
        <v>6.0999999999999999E-2</v>
      </c>
      <c r="J90">
        <v>2.4590000000000001</v>
      </c>
      <c r="K90">
        <v>175</v>
      </c>
      <c r="L90">
        <v>193</v>
      </c>
      <c r="M90">
        <v>200</v>
      </c>
      <c r="N90">
        <v>0</v>
      </c>
      <c r="O90" s="4"/>
      <c r="P90" s="4"/>
    </row>
    <row r="91" spans="1:16" x14ac:dyDescent="0.2">
      <c r="A91" t="s">
        <v>89</v>
      </c>
      <c r="B91">
        <v>307</v>
      </c>
      <c r="C91">
        <v>308</v>
      </c>
      <c r="D91">
        <v>16</v>
      </c>
      <c r="E91">
        <v>0.3</v>
      </c>
      <c r="F91">
        <v>10</v>
      </c>
      <c r="G91">
        <v>0.8</v>
      </c>
      <c r="H91">
        <v>1.6E-2</v>
      </c>
      <c r="I91">
        <v>6.0999999999999999E-2</v>
      </c>
      <c r="J91">
        <v>1.7000000000000001E-2</v>
      </c>
      <c r="K91">
        <v>175</v>
      </c>
      <c r="L91">
        <v>208</v>
      </c>
      <c r="M91">
        <v>220</v>
      </c>
      <c r="N91">
        <v>0</v>
      </c>
      <c r="O91" s="4"/>
      <c r="P91" s="4"/>
    </row>
    <row r="92" spans="1:16" x14ac:dyDescent="0.2">
      <c r="A92" t="s">
        <v>90</v>
      </c>
      <c r="B92">
        <v>308</v>
      </c>
      <c r="C92">
        <v>309</v>
      </c>
      <c r="D92">
        <v>43</v>
      </c>
      <c r="E92">
        <v>0.44</v>
      </c>
      <c r="F92">
        <v>10</v>
      </c>
      <c r="G92">
        <v>2.2999999999999998</v>
      </c>
      <c r="H92">
        <v>4.2999999999999997E-2</v>
      </c>
      <c r="I92">
        <v>0.16500000000000001</v>
      </c>
      <c r="J92">
        <v>4.4999999999999998E-2</v>
      </c>
      <c r="K92">
        <v>175</v>
      </c>
      <c r="L92">
        <v>208</v>
      </c>
      <c r="M92">
        <v>220</v>
      </c>
      <c r="N92">
        <v>0</v>
      </c>
      <c r="O92" s="4"/>
      <c r="P92" s="4"/>
    </row>
    <row r="93" spans="1:16" x14ac:dyDescent="0.2">
      <c r="A93" t="s">
        <v>91</v>
      </c>
      <c r="B93">
        <v>308</v>
      </c>
      <c r="C93">
        <v>310</v>
      </c>
      <c r="D93">
        <v>43</v>
      </c>
      <c r="E93">
        <v>0.44</v>
      </c>
      <c r="F93">
        <v>10</v>
      </c>
      <c r="G93">
        <v>2.2999999999999998</v>
      </c>
      <c r="H93">
        <v>4.2999999999999997E-2</v>
      </c>
      <c r="I93">
        <v>0.16500000000000001</v>
      </c>
      <c r="J93">
        <v>4.4999999999999998E-2</v>
      </c>
      <c r="K93">
        <v>175</v>
      </c>
      <c r="L93">
        <v>208</v>
      </c>
      <c r="M93">
        <v>220</v>
      </c>
      <c r="N93">
        <v>0</v>
      </c>
      <c r="O93" s="4"/>
      <c r="P93" s="4"/>
    </row>
    <row r="94" spans="1:16" x14ac:dyDescent="0.2">
      <c r="A94" t="s">
        <v>92</v>
      </c>
      <c r="B94">
        <v>309</v>
      </c>
      <c r="C94">
        <v>311</v>
      </c>
      <c r="D94">
        <v>0</v>
      </c>
      <c r="E94">
        <v>0.02</v>
      </c>
      <c r="F94">
        <v>768</v>
      </c>
      <c r="G94">
        <v>0</v>
      </c>
      <c r="H94">
        <v>2E-3</v>
      </c>
      <c r="I94">
        <v>8.4000000000000005E-2</v>
      </c>
      <c r="J94">
        <v>0</v>
      </c>
      <c r="K94">
        <v>400</v>
      </c>
      <c r="L94">
        <v>510</v>
      </c>
      <c r="M94">
        <v>600</v>
      </c>
      <c r="N94">
        <v>1.03</v>
      </c>
      <c r="O94" s="4"/>
      <c r="P94" s="4"/>
    </row>
    <row r="95" spans="1:16" x14ac:dyDescent="0.2">
      <c r="A95" t="s">
        <v>93</v>
      </c>
      <c r="B95">
        <v>309</v>
      </c>
      <c r="C95">
        <v>312</v>
      </c>
      <c r="D95">
        <v>0</v>
      </c>
      <c r="E95">
        <v>0.02</v>
      </c>
      <c r="F95">
        <v>768</v>
      </c>
      <c r="G95">
        <v>0</v>
      </c>
      <c r="H95">
        <v>2E-3</v>
      </c>
      <c r="I95">
        <v>8.4000000000000005E-2</v>
      </c>
      <c r="J95">
        <v>0</v>
      </c>
      <c r="K95">
        <v>400</v>
      </c>
      <c r="L95">
        <v>510</v>
      </c>
      <c r="M95">
        <v>600</v>
      </c>
      <c r="N95">
        <v>1.03</v>
      </c>
      <c r="O95" s="4"/>
      <c r="P95" s="4"/>
    </row>
    <row r="96" spans="1:16" x14ac:dyDescent="0.2">
      <c r="A96" t="s">
        <v>94</v>
      </c>
      <c r="B96">
        <v>310</v>
      </c>
      <c r="C96">
        <v>311</v>
      </c>
      <c r="D96">
        <v>0</v>
      </c>
      <c r="E96">
        <v>0.02</v>
      </c>
      <c r="F96">
        <v>768</v>
      </c>
      <c r="G96">
        <v>0</v>
      </c>
      <c r="H96">
        <v>2E-3</v>
      </c>
      <c r="I96">
        <v>8.4000000000000005E-2</v>
      </c>
      <c r="J96">
        <v>0</v>
      </c>
      <c r="K96">
        <v>400</v>
      </c>
      <c r="L96">
        <v>510</v>
      </c>
      <c r="M96">
        <v>600</v>
      </c>
      <c r="N96">
        <v>1.0149999999999999</v>
      </c>
      <c r="O96" s="4"/>
      <c r="P96" s="4"/>
    </row>
    <row r="97" spans="1:16" x14ac:dyDescent="0.2">
      <c r="A97" t="s">
        <v>95</v>
      </c>
      <c r="B97">
        <v>310</v>
      </c>
      <c r="C97">
        <v>312</v>
      </c>
      <c r="D97">
        <v>0</v>
      </c>
      <c r="E97">
        <v>0.02</v>
      </c>
      <c r="F97">
        <v>768</v>
      </c>
      <c r="G97">
        <v>0</v>
      </c>
      <c r="H97">
        <v>2E-3</v>
      </c>
      <c r="I97">
        <v>8.4000000000000005E-2</v>
      </c>
      <c r="J97">
        <v>0</v>
      </c>
      <c r="K97">
        <v>400</v>
      </c>
      <c r="L97">
        <v>510</v>
      </c>
      <c r="M97">
        <v>600</v>
      </c>
      <c r="N97">
        <v>1.0149999999999999</v>
      </c>
      <c r="O97" s="4"/>
      <c r="P97" s="4"/>
    </row>
    <row r="98" spans="1:16" x14ac:dyDescent="0.2">
      <c r="A98" t="s">
        <v>96</v>
      </c>
      <c r="B98">
        <v>311</v>
      </c>
      <c r="C98">
        <v>313</v>
      </c>
      <c r="D98">
        <v>33</v>
      </c>
      <c r="E98">
        <v>0.4</v>
      </c>
      <c r="F98">
        <v>11</v>
      </c>
      <c r="G98">
        <v>0.8</v>
      </c>
      <c r="H98">
        <v>6.0000000000000001E-3</v>
      </c>
      <c r="I98">
        <v>4.8000000000000001E-2</v>
      </c>
      <c r="J98">
        <v>0.1</v>
      </c>
      <c r="K98">
        <v>500</v>
      </c>
      <c r="L98">
        <v>600</v>
      </c>
      <c r="M98">
        <v>625</v>
      </c>
      <c r="N98">
        <v>0</v>
      </c>
      <c r="O98" s="4"/>
      <c r="P98" s="4"/>
    </row>
    <row r="99" spans="1:16" x14ac:dyDescent="0.2">
      <c r="A99" t="s">
        <v>97</v>
      </c>
      <c r="B99">
        <v>311</v>
      </c>
      <c r="C99">
        <v>314</v>
      </c>
      <c r="D99">
        <v>29</v>
      </c>
      <c r="E99">
        <v>0.39</v>
      </c>
      <c r="F99">
        <v>11</v>
      </c>
      <c r="G99">
        <v>0.7</v>
      </c>
      <c r="H99">
        <v>5.0000000000000001E-3</v>
      </c>
      <c r="I99">
        <v>4.2000000000000003E-2</v>
      </c>
      <c r="J99">
        <v>8.7999999999999995E-2</v>
      </c>
      <c r="K99">
        <v>500</v>
      </c>
      <c r="L99">
        <v>600</v>
      </c>
      <c r="M99">
        <v>625</v>
      </c>
      <c r="N99">
        <v>0</v>
      </c>
      <c r="O99" s="4"/>
      <c r="P99" s="4"/>
    </row>
    <row r="100" spans="1:16" x14ac:dyDescent="0.2">
      <c r="A100" t="s">
        <v>98</v>
      </c>
      <c r="B100">
        <v>312</v>
      </c>
      <c r="C100">
        <v>313</v>
      </c>
      <c r="D100">
        <v>33</v>
      </c>
      <c r="E100">
        <v>0.4</v>
      </c>
      <c r="F100">
        <v>11</v>
      </c>
      <c r="G100">
        <v>0.8</v>
      </c>
      <c r="H100">
        <v>6.0000000000000001E-3</v>
      </c>
      <c r="I100">
        <v>4.8000000000000001E-2</v>
      </c>
      <c r="J100">
        <v>0.1</v>
      </c>
      <c r="K100">
        <v>500</v>
      </c>
      <c r="L100">
        <v>600</v>
      </c>
      <c r="M100">
        <v>625</v>
      </c>
      <c r="N100">
        <v>0</v>
      </c>
      <c r="O100" s="4"/>
      <c r="P100" s="4"/>
    </row>
    <row r="101" spans="1:16" x14ac:dyDescent="0.2">
      <c r="A101" t="s">
        <v>99</v>
      </c>
      <c r="B101">
        <v>312</v>
      </c>
      <c r="C101">
        <v>323</v>
      </c>
      <c r="D101">
        <v>67</v>
      </c>
      <c r="E101">
        <v>0.52</v>
      </c>
      <c r="F101">
        <v>11</v>
      </c>
      <c r="G101">
        <v>1.6</v>
      </c>
      <c r="H101">
        <v>1.2E-2</v>
      </c>
      <c r="I101">
        <v>9.7000000000000003E-2</v>
      </c>
      <c r="J101">
        <v>0.20300000000000001</v>
      </c>
      <c r="K101">
        <v>500</v>
      </c>
      <c r="L101">
        <v>600</v>
      </c>
      <c r="M101">
        <v>625</v>
      </c>
      <c r="N101">
        <v>0</v>
      </c>
      <c r="O101" s="4"/>
      <c r="P101" s="4"/>
    </row>
    <row r="102" spans="1:16" x14ac:dyDescent="0.2">
      <c r="A102" t="s">
        <v>100</v>
      </c>
      <c r="B102">
        <v>313</v>
      </c>
      <c r="C102">
        <v>323</v>
      </c>
      <c r="D102">
        <v>60</v>
      </c>
      <c r="E102">
        <v>0.49</v>
      </c>
      <c r="F102">
        <v>11</v>
      </c>
      <c r="G102">
        <v>1.5</v>
      </c>
      <c r="H102">
        <v>1.0999999999999999E-2</v>
      </c>
      <c r="I102">
        <v>8.6999999999999994E-2</v>
      </c>
      <c r="J102">
        <v>0.182</v>
      </c>
      <c r="K102">
        <v>500</v>
      </c>
      <c r="L102">
        <v>600</v>
      </c>
      <c r="M102">
        <v>625</v>
      </c>
      <c r="N102">
        <v>0</v>
      </c>
      <c r="O102" s="4"/>
      <c r="P102" s="4"/>
    </row>
    <row r="103" spans="1:16" x14ac:dyDescent="0.2">
      <c r="A103" t="s">
        <v>101</v>
      </c>
      <c r="B103">
        <v>314</v>
      </c>
      <c r="C103">
        <v>316</v>
      </c>
      <c r="D103">
        <v>27</v>
      </c>
      <c r="E103">
        <v>0.38</v>
      </c>
      <c r="F103">
        <v>11</v>
      </c>
      <c r="G103">
        <v>0.7</v>
      </c>
      <c r="H103">
        <v>5.0000000000000001E-3</v>
      </c>
      <c r="I103">
        <v>5.8999999999999997E-2</v>
      </c>
      <c r="J103">
        <v>8.2000000000000003E-2</v>
      </c>
      <c r="K103">
        <v>500</v>
      </c>
      <c r="L103">
        <v>600</v>
      </c>
      <c r="M103">
        <v>625</v>
      </c>
      <c r="N103">
        <v>0</v>
      </c>
      <c r="O103" s="4"/>
      <c r="P103" s="4"/>
    </row>
    <row r="104" spans="1:16" x14ac:dyDescent="0.2">
      <c r="A104" t="s">
        <v>102</v>
      </c>
      <c r="B104">
        <v>315</v>
      </c>
      <c r="C104">
        <v>316</v>
      </c>
      <c r="D104">
        <v>12</v>
      </c>
      <c r="E104">
        <v>0.33</v>
      </c>
      <c r="F104">
        <v>11</v>
      </c>
      <c r="G104">
        <v>0.3</v>
      </c>
      <c r="H104">
        <v>2E-3</v>
      </c>
      <c r="I104">
        <v>1.7000000000000001E-2</v>
      </c>
      <c r="J104">
        <v>3.5999999999999997E-2</v>
      </c>
      <c r="K104">
        <v>500</v>
      </c>
      <c r="L104">
        <v>600</v>
      </c>
      <c r="M104">
        <v>625</v>
      </c>
      <c r="N104">
        <v>0</v>
      </c>
      <c r="O104" s="4"/>
      <c r="P104" s="4"/>
    </row>
    <row r="105" spans="1:16" x14ac:dyDescent="0.2">
      <c r="A105" t="s">
        <v>103</v>
      </c>
      <c r="B105">
        <v>315</v>
      </c>
      <c r="C105">
        <v>321</v>
      </c>
      <c r="D105">
        <v>34</v>
      </c>
      <c r="E105">
        <v>0.41</v>
      </c>
      <c r="F105">
        <v>11</v>
      </c>
      <c r="G105">
        <v>0.8</v>
      </c>
      <c r="H105">
        <v>6.0000000000000001E-3</v>
      </c>
      <c r="I105">
        <v>4.9000000000000002E-2</v>
      </c>
      <c r="J105">
        <v>0.10299999999999999</v>
      </c>
      <c r="K105">
        <v>500</v>
      </c>
      <c r="L105">
        <v>600</v>
      </c>
      <c r="M105">
        <v>625</v>
      </c>
      <c r="N105">
        <v>0</v>
      </c>
      <c r="O105" s="4"/>
      <c r="P105" s="4"/>
    </row>
    <row r="106" spans="1:16" x14ac:dyDescent="0.2">
      <c r="A106" t="s">
        <v>104</v>
      </c>
      <c r="B106">
        <v>315</v>
      </c>
      <c r="C106">
        <v>321</v>
      </c>
      <c r="D106">
        <v>34</v>
      </c>
      <c r="E106">
        <v>0.41</v>
      </c>
      <c r="F106">
        <v>11</v>
      </c>
      <c r="G106">
        <v>0.8</v>
      </c>
      <c r="H106">
        <v>6.0000000000000001E-3</v>
      </c>
      <c r="I106">
        <v>4.9000000000000002E-2</v>
      </c>
      <c r="J106">
        <v>0.10299999999999999</v>
      </c>
      <c r="K106">
        <v>500</v>
      </c>
      <c r="L106">
        <v>600</v>
      </c>
      <c r="M106">
        <v>625</v>
      </c>
      <c r="N106">
        <v>0</v>
      </c>
      <c r="O106" s="4"/>
      <c r="P106" s="4"/>
    </row>
    <row r="107" spans="1:16" x14ac:dyDescent="0.2">
      <c r="A107" t="s">
        <v>105</v>
      </c>
      <c r="B107">
        <v>315</v>
      </c>
      <c r="C107">
        <v>324</v>
      </c>
      <c r="D107">
        <v>36</v>
      </c>
      <c r="E107">
        <v>0.41</v>
      </c>
      <c r="F107">
        <v>11</v>
      </c>
      <c r="G107">
        <v>0.9</v>
      </c>
      <c r="H107">
        <v>7.0000000000000001E-3</v>
      </c>
      <c r="I107">
        <v>5.1999999999999998E-2</v>
      </c>
      <c r="J107">
        <v>0.109</v>
      </c>
      <c r="K107">
        <v>500</v>
      </c>
      <c r="L107">
        <v>600</v>
      </c>
      <c r="M107">
        <v>625</v>
      </c>
      <c r="N107">
        <v>0</v>
      </c>
      <c r="O107" s="4"/>
      <c r="P107" s="4"/>
    </row>
    <row r="108" spans="1:16" x14ac:dyDescent="0.2">
      <c r="A108" t="s">
        <v>106</v>
      </c>
      <c r="B108">
        <v>316</v>
      </c>
      <c r="C108">
        <v>317</v>
      </c>
      <c r="D108">
        <v>18</v>
      </c>
      <c r="E108">
        <v>0.35</v>
      </c>
      <c r="F108">
        <v>11</v>
      </c>
      <c r="G108">
        <v>0.4</v>
      </c>
      <c r="H108">
        <v>3.0000000000000001E-3</v>
      </c>
      <c r="I108">
        <v>2.5999999999999999E-2</v>
      </c>
      <c r="J108">
        <v>5.5E-2</v>
      </c>
      <c r="K108">
        <v>500</v>
      </c>
      <c r="L108">
        <v>600</v>
      </c>
      <c r="M108">
        <v>625</v>
      </c>
      <c r="N108">
        <v>0</v>
      </c>
      <c r="O108" s="4"/>
      <c r="P108" s="4"/>
    </row>
    <row r="109" spans="1:16" x14ac:dyDescent="0.2">
      <c r="A109" t="s">
        <v>107</v>
      </c>
      <c r="B109">
        <v>316</v>
      </c>
      <c r="C109">
        <v>319</v>
      </c>
      <c r="D109">
        <v>16</v>
      </c>
      <c r="E109">
        <v>0.34</v>
      </c>
      <c r="F109">
        <v>11</v>
      </c>
      <c r="G109">
        <v>0.4</v>
      </c>
      <c r="H109">
        <v>3.0000000000000001E-3</v>
      </c>
      <c r="I109">
        <v>2.3E-2</v>
      </c>
      <c r="J109">
        <v>4.9000000000000002E-2</v>
      </c>
      <c r="K109">
        <v>500</v>
      </c>
      <c r="L109">
        <v>600</v>
      </c>
      <c r="M109">
        <v>625</v>
      </c>
      <c r="N109">
        <v>0</v>
      </c>
      <c r="O109" s="4"/>
      <c r="P109" s="4"/>
    </row>
    <row r="110" spans="1:16" x14ac:dyDescent="0.2">
      <c r="A110" t="s">
        <v>108</v>
      </c>
      <c r="B110">
        <v>317</v>
      </c>
      <c r="C110">
        <v>318</v>
      </c>
      <c r="D110">
        <v>10</v>
      </c>
      <c r="E110">
        <v>0.32</v>
      </c>
      <c r="F110">
        <v>11</v>
      </c>
      <c r="G110">
        <v>0.2</v>
      </c>
      <c r="H110">
        <v>2E-3</v>
      </c>
      <c r="I110">
        <v>1.4E-2</v>
      </c>
      <c r="J110">
        <v>0.03</v>
      </c>
      <c r="K110">
        <v>500</v>
      </c>
      <c r="L110">
        <v>600</v>
      </c>
      <c r="M110">
        <v>625</v>
      </c>
      <c r="N110">
        <v>0</v>
      </c>
      <c r="O110" s="4"/>
      <c r="P110" s="4"/>
    </row>
    <row r="111" spans="1:16" x14ac:dyDescent="0.2">
      <c r="A111" t="s">
        <v>109</v>
      </c>
      <c r="B111">
        <v>317</v>
      </c>
      <c r="C111">
        <v>322</v>
      </c>
      <c r="D111">
        <v>73</v>
      </c>
      <c r="E111">
        <v>0.54</v>
      </c>
      <c r="F111">
        <v>11</v>
      </c>
      <c r="G111">
        <v>1.8</v>
      </c>
      <c r="H111">
        <v>1.4E-2</v>
      </c>
      <c r="I111">
        <v>0.105</v>
      </c>
      <c r="J111">
        <v>0.221</v>
      </c>
      <c r="K111">
        <v>500</v>
      </c>
      <c r="L111">
        <v>600</v>
      </c>
      <c r="M111">
        <v>625</v>
      </c>
      <c r="N111">
        <v>0</v>
      </c>
      <c r="O111" s="4"/>
      <c r="P111" s="4"/>
    </row>
    <row r="112" spans="1:16" x14ac:dyDescent="0.2">
      <c r="A112" t="s">
        <v>110</v>
      </c>
      <c r="B112">
        <v>318</v>
      </c>
      <c r="C112">
        <v>321</v>
      </c>
      <c r="D112">
        <v>18</v>
      </c>
      <c r="E112">
        <v>0.35</v>
      </c>
      <c r="F112">
        <v>11</v>
      </c>
      <c r="G112">
        <v>0.4</v>
      </c>
      <c r="H112">
        <v>3.0000000000000001E-3</v>
      </c>
      <c r="I112">
        <v>2.5999999999999999E-2</v>
      </c>
      <c r="J112">
        <v>5.5E-2</v>
      </c>
      <c r="K112">
        <v>500</v>
      </c>
      <c r="L112">
        <v>600</v>
      </c>
      <c r="M112">
        <v>625</v>
      </c>
      <c r="N112">
        <v>0</v>
      </c>
      <c r="O112" s="4"/>
      <c r="P112" s="4"/>
    </row>
    <row r="113" spans="1:16" x14ac:dyDescent="0.2">
      <c r="A113" t="s">
        <v>111</v>
      </c>
      <c r="B113">
        <v>318</v>
      </c>
      <c r="C113">
        <v>321</v>
      </c>
      <c r="D113">
        <v>18</v>
      </c>
      <c r="E113">
        <v>0.35</v>
      </c>
      <c r="F113">
        <v>11</v>
      </c>
      <c r="G113">
        <v>0.4</v>
      </c>
      <c r="H113">
        <v>3.0000000000000001E-3</v>
      </c>
      <c r="I113">
        <v>2.5999999999999999E-2</v>
      </c>
      <c r="J113">
        <v>5.5E-2</v>
      </c>
      <c r="K113">
        <v>500</v>
      </c>
      <c r="L113">
        <v>600</v>
      </c>
      <c r="M113">
        <v>625</v>
      </c>
      <c r="N113">
        <v>0</v>
      </c>
      <c r="O113" s="4"/>
      <c r="P113" s="4"/>
    </row>
    <row r="114" spans="1:16" x14ac:dyDescent="0.2">
      <c r="A114" t="s">
        <v>112</v>
      </c>
      <c r="B114">
        <v>319</v>
      </c>
      <c r="C114">
        <v>320</v>
      </c>
      <c r="D114">
        <v>27.5</v>
      </c>
      <c r="E114">
        <v>0.38</v>
      </c>
      <c r="F114">
        <v>11</v>
      </c>
      <c r="G114">
        <v>0.7</v>
      </c>
      <c r="H114">
        <v>5.0000000000000001E-3</v>
      </c>
      <c r="I114">
        <v>0.04</v>
      </c>
      <c r="J114">
        <v>8.3000000000000004E-2</v>
      </c>
      <c r="K114">
        <v>500</v>
      </c>
      <c r="L114">
        <v>600</v>
      </c>
      <c r="M114">
        <v>625</v>
      </c>
      <c r="N114">
        <v>0</v>
      </c>
      <c r="O114" s="4"/>
      <c r="P114" s="4"/>
    </row>
    <row r="115" spans="1:16" x14ac:dyDescent="0.2">
      <c r="A115" t="s">
        <v>113</v>
      </c>
      <c r="B115">
        <v>319</v>
      </c>
      <c r="C115">
        <v>320</v>
      </c>
      <c r="D115">
        <v>27.5</v>
      </c>
      <c r="E115">
        <v>0.38</v>
      </c>
      <c r="F115">
        <v>11</v>
      </c>
      <c r="G115">
        <v>0.7</v>
      </c>
      <c r="H115">
        <v>5.0000000000000001E-3</v>
      </c>
      <c r="I115">
        <v>0.04</v>
      </c>
      <c r="J115">
        <v>8.3000000000000004E-2</v>
      </c>
      <c r="K115">
        <v>500</v>
      </c>
      <c r="L115">
        <v>600</v>
      </c>
      <c r="M115">
        <v>625</v>
      </c>
      <c r="N115">
        <v>0</v>
      </c>
      <c r="O115" s="4"/>
      <c r="P115" s="4"/>
    </row>
    <row r="116" spans="1:16" x14ac:dyDescent="0.2">
      <c r="A116" t="s">
        <v>114</v>
      </c>
      <c r="B116">
        <v>320</v>
      </c>
      <c r="C116">
        <v>323</v>
      </c>
      <c r="D116">
        <v>15</v>
      </c>
      <c r="E116">
        <v>0.34</v>
      </c>
      <c r="F116">
        <v>11</v>
      </c>
      <c r="G116">
        <v>0.4</v>
      </c>
      <c r="H116">
        <v>3.0000000000000001E-3</v>
      </c>
      <c r="I116">
        <v>2.1999999999999999E-2</v>
      </c>
      <c r="J116">
        <v>4.5999999999999999E-2</v>
      </c>
      <c r="K116">
        <v>500</v>
      </c>
      <c r="L116">
        <v>600</v>
      </c>
      <c r="M116">
        <v>625</v>
      </c>
      <c r="N116">
        <v>0</v>
      </c>
      <c r="O116" s="4"/>
      <c r="P116" s="4"/>
    </row>
    <row r="117" spans="1:16" x14ac:dyDescent="0.2">
      <c r="A117" t="s">
        <v>115</v>
      </c>
      <c r="B117">
        <v>320</v>
      </c>
      <c r="C117">
        <v>323</v>
      </c>
      <c r="D117">
        <v>15</v>
      </c>
      <c r="E117">
        <v>0.34</v>
      </c>
      <c r="F117">
        <v>11</v>
      </c>
      <c r="G117">
        <v>0.4</v>
      </c>
      <c r="H117">
        <v>3.0000000000000001E-3</v>
      </c>
      <c r="I117">
        <v>2.1999999999999999E-2</v>
      </c>
      <c r="J117">
        <v>4.5999999999999999E-2</v>
      </c>
      <c r="K117">
        <v>500</v>
      </c>
      <c r="L117">
        <v>600</v>
      </c>
      <c r="M117">
        <v>625</v>
      </c>
      <c r="N117">
        <v>0</v>
      </c>
      <c r="O117" s="4"/>
      <c r="P117" s="4"/>
    </row>
    <row r="118" spans="1:16" x14ac:dyDescent="0.2">
      <c r="A118" t="s">
        <v>116</v>
      </c>
      <c r="B118">
        <v>321</v>
      </c>
      <c r="C118">
        <v>322</v>
      </c>
      <c r="D118">
        <v>47</v>
      </c>
      <c r="E118">
        <v>0.45</v>
      </c>
      <c r="F118">
        <v>11</v>
      </c>
      <c r="G118">
        <v>1.2</v>
      </c>
      <c r="H118">
        <v>8.9999999999999993E-3</v>
      </c>
      <c r="I118">
        <v>6.8000000000000005E-2</v>
      </c>
      <c r="J118">
        <v>0.14199999999999999</v>
      </c>
      <c r="K118">
        <v>500</v>
      </c>
      <c r="L118">
        <v>600</v>
      </c>
      <c r="M118">
        <v>625</v>
      </c>
      <c r="N118">
        <v>0</v>
      </c>
      <c r="O118" s="4"/>
      <c r="P118" s="4"/>
    </row>
    <row r="119" spans="1:16" x14ac:dyDescent="0.2">
      <c r="A119" t="s">
        <v>117</v>
      </c>
      <c r="B119">
        <v>325</v>
      </c>
      <c r="C119">
        <v>121</v>
      </c>
      <c r="D119">
        <v>67</v>
      </c>
      <c r="E119">
        <v>0.52</v>
      </c>
      <c r="F119">
        <v>11</v>
      </c>
      <c r="G119">
        <v>1.6</v>
      </c>
      <c r="H119">
        <v>1.2E-2</v>
      </c>
      <c r="I119">
        <v>9.7000000000000003E-2</v>
      </c>
      <c r="J119">
        <v>0.20300000000000001</v>
      </c>
      <c r="K119">
        <v>500</v>
      </c>
      <c r="L119">
        <v>600</v>
      </c>
      <c r="M119">
        <v>625</v>
      </c>
      <c r="N119">
        <v>0</v>
      </c>
      <c r="O119" s="4"/>
      <c r="P119" s="4"/>
    </row>
    <row r="120" spans="1:16" x14ac:dyDescent="0.2">
      <c r="A120" t="s">
        <v>118</v>
      </c>
      <c r="B120">
        <v>318</v>
      </c>
      <c r="C120">
        <v>223</v>
      </c>
      <c r="D120">
        <v>72</v>
      </c>
      <c r="E120">
        <v>0.53</v>
      </c>
      <c r="F120">
        <v>11</v>
      </c>
      <c r="G120">
        <v>1.8</v>
      </c>
      <c r="H120">
        <v>1.2999999999999999E-2</v>
      </c>
      <c r="I120">
        <v>0.104</v>
      </c>
      <c r="J120">
        <v>0.218</v>
      </c>
      <c r="K120">
        <v>500</v>
      </c>
      <c r="L120">
        <v>600</v>
      </c>
      <c r="M120">
        <v>625</v>
      </c>
      <c r="N120">
        <v>0</v>
      </c>
      <c r="O120" s="4"/>
      <c r="P120" s="4"/>
    </row>
    <row r="121" spans="1:16" x14ac:dyDescent="0.2">
      <c r="A121" t="s">
        <v>119</v>
      </c>
      <c r="B121">
        <v>323</v>
      </c>
      <c r="C121">
        <v>325</v>
      </c>
      <c r="D121">
        <v>0</v>
      </c>
      <c r="E121">
        <v>0.02</v>
      </c>
      <c r="F121">
        <v>768</v>
      </c>
      <c r="G121">
        <v>0</v>
      </c>
      <c r="H121">
        <v>0</v>
      </c>
      <c r="I121">
        <v>8.9999999999999993E-3</v>
      </c>
      <c r="J121">
        <v>0</v>
      </c>
      <c r="K121">
        <v>722</v>
      </c>
      <c r="L121">
        <v>893</v>
      </c>
      <c r="M121">
        <v>893</v>
      </c>
      <c r="N121">
        <v>1</v>
      </c>
      <c r="O121" s="4"/>
      <c r="P121" s="4"/>
    </row>
  </sheetData>
  <autoFilter ref="A1:N121" xr:uid="{EA48BA52-D1D4-AF49-BBB9-424E5AAF36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B039-9129-5D47-B1C1-E2EB2A7BE1E4}">
  <sheetPr filterMode="1"/>
  <dimension ref="A1:S228"/>
  <sheetViews>
    <sheetView tabSelected="1" topLeftCell="A41" workbookViewId="0">
      <selection activeCell="U109" sqref="U109"/>
    </sheetView>
  </sheetViews>
  <sheetFormatPr baseColWidth="10" defaultColWidth="11" defaultRowHeight="16" x14ac:dyDescent="0.2"/>
  <sheetData>
    <row r="1" spans="1:19" x14ac:dyDescent="0.2">
      <c r="A1" t="s">
        <v>120</v>
      </c>
      <c r="B1" t="s">
        <v>121</v>
      </c>
      <c r="C1" t="s">
        <v>122</v>
      </c>
      <c r="D1" t="s">
        <v>131</v>
      </c>
      <c r="E1" t="s">
        <v>132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133</v>
      </c>
      <c r="O1" s="5" t="s">
        <v>230</v>
      </c>
      <c r="P1" s="5" t="s">
        <v>239</v>
      </c>
      <c r="Q1" s="5" t="s">
        <v>240</v>
      </c>
      <c r="R1" s="5" t="s">
        <v>241</v>
      </c>
      <c r="S1" s="5" t="s">
        <v>218</v>
      </c>
    </row>
    <row r="2" spans="1:19" hidden="1" x14ac:dyDescent="0.2">
      <c r="A2" t="s">
        <v>243</v>
      </c>
      <c r="B2">
        <v>101</v>
      </c>
      <c r="C2">
        <v>102</v>
      </c>
      <c r="D2">
        <v>3</v>
      </c>
      <c r="E2">
        <v>0.24</v>
      </c>
      <c r="F2">
        <v>16</v>
      </c>
      <c r="G2">
        <v>0</v>
      </c>
      <c r="H2">
        <v>3.0000000000000001E-3</v>
      </c>
      <c r="I2">
        <v>1.4E-2</v>
      </c>
      <c r="J2">
        <v>0.46100000000000002</v>
      </c>
      <c r="K2">
        <v>175</v>
      </c>
      <c r="L2">
        <v>193</v>
      </c>
      <c r="M2">
        <v>200</v>
      </c>
      <c r="N2">
        <v>0</v>
      </c>
      <c r="O2" s="4">
        <f>_xlfn.XLOOKUP(B2,[1]bus!A:A,[1]bus!K:K,"MISS")</f>
        <v>110.21796586763884</v>
      </c>
      <c r="P2" s="4">
        <f>O2*3</f>
        <v>330.65389760291652</v>
      </c>
      <c r="Q2">
        <f t="shared" ref="Q2:Q65" si="0">IF(P2&lt;K2,K2,IF(P2&lt;K2*2,K2*2,K2*3))</f>
        <v>350</v>
      </c>
      <c r="R2">
        <v>0</v>
      </c>
      <c r="S2">
        <v>-1</v>
      </c>
    </row>
    <row r="3" spans="1:19" x14ac:dyDescent="0.2">
      <c r="A3" t="s">
        <v>244</v>
      </c>
      <c r="B3">
        <v>101</v>
      </c>
      <c r="C3">
        <v>102</v>
      </c>
      <c r="D3">
        <v>3</v>
      </c>
      <c r="E3">
        <v>0.24</v>
      </c>
      <c r="F3">
        <v>16</v>
      </c>
      <c r="G3">
        <v>0</v>
      </c>
      <c r="H3">
        <v>3.0000000000000001E-3</v>
      </c>
      <c r="I3">
        <v>1.4E-2</v>
      </c>
      <c r="J3">
        <v>0.46100000000000002</v>
      </c>
      <c r="K3">
        <v>175</v>
      </c>
      <c r="L3">
        <v>193</v>
      </c>
      <c r="M3">
        <v>200</v>
      </c>
      <c r="N3">
        <v>0</v>
      </c>
      <c r="O3" s="4">
        <f>_xlfn.XLOOKUP(B3,[1]bus!A:A,[1]bus!K:K,"MISS")</f>
        <v>110.21796586763884</v>
      </c>
      <c r="P3" s="4">
        <f>O3*3</f>
        <v>330.65389760291652</v>
      </c>
      <c r="Q3">
        <f t="shared" si="0"/>
        <v>350</v>
      </c>
      <c r="R3">
        <v>1</v>
      </c>
      <c r="S3">
        <f>400000*R3*D3</f>
        <v>1200000</v>
      </c>
    </row>
    <row r="4" spans="1:19" hidden="1" x14ac:dyDescent="0.2">
      <c r="A4" t="s">
        <v>245</v>
      </c>
      <c r="B4">
        <v>101</v>
      </c>
      <c r="C4">
        <v>103</v>
      </c>
      <c r="D4">
        <v>55</v>
      </c>
      <c r="E4">
        <v>0.51</v>
      </c>
      <c r="F4">
        <v>10</v>
      </c>
      <c r="G4">
        <v>2.9</v>
      </c>
      <c r="H4">
        <v>5.5E-2</v>
      </c>
      <c r="I4">
        <v>0.21099999999999999</v>
      </c>
      <c r="J4">
        <v>5.7000000000000002E-2</v>
      </c>
      <c r="K4">
        <v>175</v>
      </c>
      <c r="L4">
        <v>208</v>
      </c>
      <c r="M4">
        <v>220</v>
      </c>
      <c r="N4">
        <v>0</v>
      </c>
      <c r="O4" s="4">
        <f>_xlfn.XLOOKUP(B4,[1]bus!A:A,[1]bus!K:K,"MISS")</f>
        <v>110.21796586763884</v>
      </c>
      <c r="P4" s="4">
        <f t="shared" ref="P4:P67" si="1">O4*3</f>
        <v>330.65389760291652</v>
      </c>
      <c r="Q4">
        <f t="shared" si="0"/>
        <v>350</v>
      </c>
      <c r="R4">
        <v>0</v>
      </c>
      <c r="S4">
        <v>-1</v>
      </c>
    </row>
    <row r="5" spans="1:19" x14ac:dyDescent="0.2">
      <c r="A5" t="s">
        <v>246</v>
      </c>
      <c r="B5">
        <v>101</v>
      </c>
      <c r="C5">
        <v>103</v>
      </c>
      <c r="D5">
        <v>55</v>
      </c>
      <c r="E5">
        <v>0.51</v>
      </c>
      <c r="F5">
        <v>10</v>
      </c>
      <c r="G5">
        <v>2.9</v>
      </c>
      <c r="H5">
        <v>5.5E-2</v>
      </c>
      <c r="I5">
        <v>0.21099999999999999</v>
      </c>
      <c r="J5">
        <v>5.7000000000000002E-2</v>
      </c>
      <c r="K5">
        <v>175</v>
      </c>
      <c r="L5">
        <v>208</v>
      </c>
      <c r="M5">
        <v>220</v>
      </c>
      <c r="N5">
        <v>0</v>
      </c>
      <c r="O5" s="4">
        <f>_xlfn.XLOOKUP(B5,[1]bus!A:A,[1]bus!K:K,"MISS")</f>
        <v>110.21796586763884</v>
      </c>
      <c r="P5" s="4">
        <f t="shared" si="1"/>
        <v>330.65389760291652</v>
      </c>
      <c r="Q5">
        <f t="shared" si="0"/>
        <v>350</v>
      </c>
      <c r="R5">
        <f>Q4/K4-1</f>
        <v>1</v>
      </c>
      <c r="S5">
        <f>400000*R5*D5</f>
        <v>22000000</v>
      </c>
    </row>
    <row r="6" spans="1:19" hidden="1" x14ac:dyDescent="0.2">
      <c r="A6" t="s">
        <v>247</v>
      </c>
      <c r="B6">
        <v>101</v>
      </c>
      <c r="C6">
        <v>105</v>
      </c>
      <c r="D6">
        <v>22</v>
      </c>
      <c r="E6">
        <v>0.33</v>
      </c>
      <c r="F6">
        <v>10</v>
      </c>
      <c r="G6">
        <v>1.2</v>
      </c>
      <c r="H6">
        <v>2.1999999999999999E-2</v>
      </c>
      <c r="I6">
        <v>8.5000000000000006E-2</v>
      </c>
      <c r="J6">
        <v>2.3E-2</v>
      </c>
      <c r="K6">
        <v>175</v>
      </c>
      <c r="L6">
        <v>208</v>
      </c>
      <c r="M6">
        <v>220</v>
      </c>
      <c r="N6">
        <v>0</v>
      </c>
      <c r="O6" s="4">
        <f>_xlfn.XLOOKUP(B6,[1]bus!A:A,[1]bus!K:K,"MISS")</f>
        <v>110.21796586763884</v>
      </c>
      <c r="P6" s="4">
        <f t="shared" si="1"/>
        <v>330.65389760291652</v>
      </c>
      <c r="Q6">
        <f t="shared" si="0"/>
        <v>350</v>
      </c>
      <c r="R6">
        <v>0</v>
      </c>
      <c r="S6">
        <v>-1</v>
      </c>
    </row>
    <row r="7" spans="1:19" x14ac:dyDescent="0.2">
      <c r="A7" t="s">
        <v>248</v>
      </c>
      <c r="B7">
        <v>101</v>
      </c>
      <c r="C7">
        <v>105</v>
      </c>
      <c r="D7">
        <v>22</v>
      </c>
      <c r="E7">
        <v>0.33</v>
      </c>
      <c r="F7">
        <v>10</v>
      </c>
      <c r="G7">
        <v>1.2</v>
      </c>
      <c r="H7">
        <v>2.1999999999999999E-2</v>
      </c>
      <c r="I7">
        <v>8.5000000000000006E-2</v>
      </c>
      <c r="J7">
        <v>2.3E-2</v>
      </c>
      <c r="K7">
        <v>175</v>
      </c>
      <c r="L7">
        <v>208</v>
      </c>
      <c r="M7">
        <v>220</v>
      </c>
      <c r="N7">
        <v>0</v>
      </c>
      <c r="O7" s="4">
        <f>_xlfn.XLOOKUP(B7,[1]bus!A:A,[1]bus!K:K,"MISS")</f>
        <v>110.21796586763884</v>
      </c>
      <c r="P7" s="4">
        <f t="shared" si="1"/>
        <v>330.65389760291652</v>
      </c>
      <c r="Q7">
        <f t="shared" si="0"/>
        <v>350</v>
      </c>
      <c r="R7">
        <f>Q6/K6-1</f>
        <v>1</v>
      </c>
      <c r="S7">
        <f>400000*R7*D7</f>
        <v>8800000</v>
      </c>
    </row>
    <row r="8" spans="1:19" hidden="1" x14ac:dyDescent="0.2">
      <c r="A8" t="s">
        <v>249</v>
      </c>
      <c r="B8">
        <v>102</v>
      </c>
      <c r="C8">
        <v>104</v>
      </c>
      <c r="D8">
        <v>33</v>
      </c>
      <c r="E8">
        <v>0.39</v>
      </c>
      <c r="F8">
        <v>10</v>
      </c>
      <c r="G8">
        <v>1.7</v>
      </c>
      <c r="H8">
        <v>3.3000000000000002E-2</v>
      </c>
      <c r="I8">
        <v>0.127</v>
      </c>
      <c r="J8">
        <v>3.4000000000000002E-2</v>
      </c>
      <c r="K8">
        <v>175</v>
      </c>
      <c r="L8">
        <v>208</v>
      </c>
      <c r="M8">
        <v>220</v>
      </c>
      <c r="N8">
        <v>0</v>
      </c>
      <c r="O8" s="4">
        <f>_xlfn.XLOOKUP(B8,[1]bus!A:A,[1]bus!K:K,"MISS")</f>
        <v>99.040395798886024</v>
      </c>
      <c r="P8" s="4">
        <f t="shared" si="1"/>
        <v>297.12118739665806</v>
      </c>
      <c r="Q8">
        <f t="shared" si="0"/>
        <v>350</v>
      </c>
      <c r="R8">
        <v>0</v>
      </c>
      <c r="S8">
        <v>-1</v>
      </c>
    </row>
    <row r="9" spans="1:19" x14ac:dyDescent="0.2">
      <c r="A9" t="s">
        <v>250</v>
      </c>
      <c r="B9">
        <v>102</v>
      </c>
      <c r="C9">
        <v>104</v>
      </c>
      <c r="D9">
        <v>33</v>
      </c>
      <c r="E9">
        <v>0.39</v>
      </c>
      <c r="F9">
        <v>10</v>
      </c>
      <c r="G9">
        <v>1.7</v>
      </c>
      <c r="H9">
        <v>3.3000000000000002E-2</v>
      </c>
      <c r="I9">
        <v>0.127</v>
      </c>
      <c r="J9">
        <v>3.4000000000000002E-2</v>
      </c>
      <c r="K9">
        <v>175</v>
      </c>
      <c r="L9">
        <v>208</v>
      </c>
      <c r="M9">
        <v>220</v>
      </c>
      <c r="N9">
        <v>0</v>
      </c>
      <c r="O9" s="4">
        <f>_xlfn.XLOOKUP(B9,[1]bus!A:A,[1]bus!K:K,"MISS")</f>
        <v>99.040395798886024</v>
      </c>
      <c r="P9" s="4">
        <f t="shared" si="1"/>
        <v>297.12118739665806</v>
      </c>
      <c r="Q9">
        <f t="shared" si="0"/>
        <v>350</v>
      </c>
      <c r="R9">
        <f>Q8/K8-1</f>
        <v>1</v>
      </c>
      <c r="S9">
        <f>400000*R9*D9</f>
        <v>13200000</v>
      </c>
    </row>
    <row r="10" spans="1:19" hidden="1" x14ac:dyDescent="0.2">
      <c r="A10" t="s">
        <v>251</v>
      </c>
      <c r="B10">
        <v>102</v>
      </c>
      <c r="C10">
        <v>106</v>
      </c>
      <c r="D10">
        <v>50</v>
      </c>
      <c r="E10">
        <v>0.48</v>
      </c>
      <c r="F10">
        <v>10</v>
      </c>
      <c r="G10">
        <v>2.6</v>
      </c>
      <c r="H10">
        <v>0.05</v>
      </c>
      <c r="I10">
        <v>0.192</v>
      </c>
      <c r="J10">
        <v>5.1999999999999998E-2</v>
      </c>
      <c r="K10">
        <v>175</v>
      </c>
      <c r="L10">
        <v>208</v>
      </c>
      <c r="M10">
        <v>220</v>
      </c>
      <c r="N10">
        <v>0</v>
      </c>
      <c r="O10" s="4">
        <f>_xlfn.XLOOKUP(B10,[1]bus!A:A,[1]bus!K:K,"MISS")</f>
        <v>99.040395798886024</v>
      </c>
      <c r="P10" s="4">
        <f t="shared" si="1"/>
        <v>297.12118739665806</v>
      </c>
      <c r="Q10">
        <f t="shared" si="0"/>
        <v>350</v>
      </c>
      <c r="R10">
        <v>0</v>
      </c>
      <c r="S10">
        <v>-1</v>
      </c>
    </row>
    <row r="11" spans="1:19" x14ac:dyDescent="0.2">
      <c r="A11" t="s">
        <v>252</v>
      </c>
      <c r="B11">
        <v>102</v>
      </c>
      <c r="C11">
        <v>106</v>
      </c>
      <c r="D11">
        <v>50</v>
      </c>
      <c r="E11">
        <v>0.48</v>
      </c>
      <c r="F11">
        <v>10</v>
      </c>
      <c r="G11">
        <v>2.6</v>
      </c>
      <c r="H11">
        <v>0.05</v>
      </c>
      <c r="I11">
        <v>0.192</v>
      </c>
      <c r="J11">
        <v>5.1999999999999998E-2</v>
      </c>
      <c r="K11">
        <v>175</v>
      </c>
      <c r="L11">
        <v>208</v>
      </c>
      <c r="M11">
        <v>220</v>
      </c>
      <c r="N11">
        <v>0</v>
      </c>
      <c r="O11" s="4">
        <f>_xlfn.XLOOKUP(B11,[1]bus!A:A,[1]bus!K:K,"MISS")</f>
        <v>99.040395798886024</v>
      </c>
      <c r="P11" s="4">
        <f t="shared" si="1"/>
        <v>297.12118739665806</v>
      </c>
      <c r="Q11">
        <f t="shared" si="0"/>
        <v>350</v>
      </c>
      <c r="R11">
        <f>Q10/K10-1</f>
        <v>1</v>
      </c>
      <c r="S11">
        <f>400000*R11*D11</f>
        <v>20000000</v>
      </c>
    </row>
    <row r="12" spans="1:19" hidden="1" x14ac:dyDescent="0.2">
      <c r="A12" t="s">
        <v>253</v>
      </c>
      <c r="B12">
        <v>103</v>
      </c>
      <c r="C12">
        <v>109</v>
      </c>
      <c r="D12">
        <v>31</v>
      </c>
      <c r="E12">
        <v>0.38</v>
      </c>
      <c r="F12">
        <v>10</v>
      </c>
      <c r="G12">
        <v>1.6</v>
      </c>
      <c r="H12">
        <v>3.1E-2</v>
      </c>
      <c r="I12">
        <v>0.11899999999999999</v>
      </c>
      <c r="J12">
        <v>3.2000000000000001E-2</v>
      </c>
      <c r="K12">
        <v>175</v>
      </c>
      <c r="L12">
        <v>208</v>
      </c>
      <c r="M12">
        <v>220</v>
      </c>
      <c r="N12">
        <v>0</v>
      </c>
      <c r="O12" s="4">
        <f>_xlfn.XLOOKUP(B12,[1]bus!A:A,[1]bus!K:K,"MISS")</f>
        <v>183.76343488300387</v>
      </c>
      <c r="P12" s="4">
        <f t="shared" si="1"/>
        <v>551.29030464901166</v>
      </c>
      <c r="Q12">
        <f t="shared" si="0"/>
        <v>525</v>
      </c>
      <c r="R12">
        <v>0</v>
      </c>
      <c r="S12">
        <v>-1</v>
      </c>
    </row>
    <row r="13" spans="1:19" x14ac:dyDescent="0.2">
      <c r="A13" t="s">
        <v>254</v>
      </c>
      <c r="B13">
        <v>103</v>
      </c>
      <c r="C13">
        <v>109</v>
      </c>
      <c r="D13">
        <v>31</v>
      </c>
      <c r="E13">
        <v>0.38</v>
      </c>
      <c r="F13">
        <v>10</v>
      </c>
      <c r="G13">
        <v>1.6</v>
      </c>
      <c r="H13">
        <v>3.1E-2</v>
      </c>
      <c r="I13">
        <v>0.11899999999999999</v>
      </c>
      <c r="J13">
        <v>3.2000000000000001E-2</v>
      </c>
      <c r="K13">
        <v>175</v>
      </c>
      <c r="L13">
        <v>208</v>
      </c>
      <c r="M13">
        <v>220</v>
      </c>
      <c r="N13">
        <v>0</v>
      </c>
      <c r="O13" s="4">
        <f>_xlfn.XLOOKUP(B13,[1]bus!A:A,[1]bus!K:K,"MISS")</f>
        <v>183.76343488300387</v>
      </c>
      <c r="P13" s="4">
        <f t="shared" si="1"/>
        <v>551.29030464901166</v>
      </c>
      <c r="Q13">
        <f t="shared" si="0"/>
        <v>525</v>
      </c>
      <c r="R13">
        <v>1</v>
      </c>
      <c r="S13">
        <f>400000*R13*D13</f>
        <v>12400000</v>
      </c>
    </row>
    <row r="14" spans="1:19" x14ac:dyDescent="0.2">
      <c r="A14" t="s">
        <v>255</v>
      </c>
      <c r="B14">
        <v>103</v>
      </c>
      <c r="C14">
        <v>109</v>
      </c>
      <c r="D14">
        <v>31</v>
      </c>
      <c r="E14">
        <v>0.38</v>
      </c>
      <c r="F14">
        <v>10</v>
      </c>
      <c r="G14">
        <v>1.6</v>
      </c>
      <c r="H14">
        <v>3.1E-2</v>
      </c>
      <c r="I14">
        <v>0.11899999999999999</v>
      </c>
      <c r="J14">
        <v>3.2000000000000001E-2</v>
      </c>
      <c r="K14">
        <v>175</v>
      </c>
      <c r="L14">
        <v>208</v>
      </c>
      <c r="M14">
        <v>220</v>
      </c>
      <c r="N14">
        <v>0</v>
      </c>
      <c r="O14" s="4">
        <f>_xlfn.XLOOKUP(B14,[1]bus!A:A,[1]bus!K:K,"MISS")</f>
        <v>183.76343488300387</v>
      </c>
      <c r="P14" s="4">
        <f t="shared" si="1"/>
        <v>551.29030464901166</v>
      </c>
      <c r="Q14">
        <f t="shared" si="0"/>
        <v>525</v>
      </c>
      <c r="R14">
        <v>1</v>
      </c>
      <c r="S14">
        <f>400000*R14*D14</f>
        <v>12400000</v>
      </c>
    </row>
    <row r="15" spans="1:19" hidden="1" x14ac:dyDescent="0.2">
      <c r="A15" t="s">
        <v>256</v>
      </c>
      <c r="B15">
        <v>103</v>
      </c>
      <c r="C15">
        <v>124</v>
      </c>
      <c r="D15">
        <v>0</v>
      </c>
      <c r="E15">
        <v>0.02</v>
      </c>
      <c r="F15">
        <v>768</v>
      </c>
      <c r="G15">
        <v>0</v>
      </c>
      <c r="H15">
        <v>2E-3</v>
      </c>
      <c r="I15">
        <v>8.4000000000000005E-2</v>
      </c>
      <c r="J15">
        <v>0</v>
      </c>
      <c r="K15">
        <v>400</v>
      </c>
      <c r="L15">
        <v>510</v>
      </c>
      <c r="M15">
        <v>600</v>
      </c>
      <c r="N15">
        <v>1.0149999999999999</v>
      </c>
      <c r="O15" s="4">
        <f>_xlfn.XLOOKUP(B15,[1]bus!A:A,[1]bus!K:K,"MISS")</f>
        <v>183.76343488300387</v>
      </c>
      <c r="P15" s="4">
        <f t="shared" si="1"/>
        <v>551.29030464901166</v>
      </c>
      <c r="Q15">
        <f t="shared" si="0"/>
        <v>800</v>
      </c>
      <c r="R15">
        <v>0</v>
      </c>
      <c r="S15">
        <v>-1</v>
      </c>
    </row>
    <row r="16" spans="1:19" x14ac:dyDescent="0.2">
      <c r="A16" t="s">
        <v>257</v>
      </c>
      <c r="B16">
        <v>103</v>
      </c>
      <c r="C16">
        <v>124</v>
      </c>
      <c r="D16">
        <v>0</v>
      </c>
      <c r="E16">
        <v>0.02</v>
      </c>
      <c r="F16">
        <v>768</v>
      </c>
      <c r="G16">
        <v>0</v>
      </c>
      <c r="H16">
        <v>2E-3</v>
      </c>
      <c r="I16">
        <v>8.4000000000000005E-2</v>
      </c>
      <c r="J16">
        <v>0</v>
      </c>
      <c r="K16">
        <v>400</v>
      </c>
      <c r="L16">
        <v>510</v>
      </c>
      <c r="M16">
        <v>600</v>
      </c>
      <c r="N16">
        <v>1.0149999999999999</v>
      </c>
      <c r="O16" s="4">
        <f>_xlfn.XLOOKUP(B16,[1]bus!A:A,[1]bus!K:K,"MISS")</f>
        <v>183.76343488300387</v>
      </c>
      <c r="P16" s="4">
        <f t="shared" si="1"/>
        <v>551.29030464901166</v>
      </c>
      <c r="Q16">
        <f t="shared" si="0"/>
        <v>800</v>
      </c>
      <c r="R16">
        <f>Q15/K15-1</f>
        <v>1</v>
      </c>
      <c r="S16">
        <f>900000*R16*D16</f>
        <v>0</v>
      </c>
    </row>
    <row r="17" spans="1:19" hidden="1" x14ac:dyDescent="0.2">
      <c r="A17" t="s">
        <v>258</v>
      </c>
      <c r="B17">
        <v>104</v>
      </c>
      <c r="C17">
        <v>109</v>
      </c>
      <c r="D17">
        <v>27</v>
      </c>
      <c r="E17">
        <v>0.36</v>
      </c>
      <c r="F17">
        <v>10</v>
      </c>
      <c r="G17">
        <v>1.4</v>
      </c>
      <c r="H17">
        <v>2.7E-2</v>
      </c>
      <c r="I17">
        <v>0.104</v>
      </c>
      <c r="J17">
        <v>2.8000000000000001E-2</v>
      </c>
      <c r="K17">
        <v>175</v>
      </c>
      <c r="L17">
        <v>208</v>
      </c>
      <c r="M17">
        <v>220</v>
      </c>
      <c r="N17">
        <v>0</v>
      </c>
      <c r="O17" s="4">
        <f>_xlfn.XLOOKUP(B17,[1]bus!A:A,[1]bus!K:K,"MISS")</f>
        <v>75.504966724050675</v>
      </c>
      <c r="P17" s="4">
        <f t="shared" si="1"/>
        <v>226.51490017215201</v>
      </c>
      <c r="Q17">
        <f t="shared" si="0"/>
        <v>350</v>
      </c>
      <c r="R17">
        <v>0</v>
      </c>
      <c r="S17">
        <v>-1</v>
      </c>
    </row>
    <row r="18" spans="1:19" x14ac:dyDescent="0.2">
      <c r="A18" t="s">
        <v>259</v>
      </c>
      <c r="B18">
        <v>104</v>
      </c>
      <c r="C18">
        <v>109</v>
      </c>
      <c r="D18">
        <v>27</v>
      </c>
      <c r="E18">
        <v>0.36</v>
      </c>
      <c r="F18">
        <v>10</v>
      </c>
      <c r="G18">
        <v>1.4</v>
      </c>
      <c r="H18">
        <v>2.7E-2</v>
      </c>
      <c r="I18">
        <v>0.104</v>
      </c>
      <c r="J18">
        <v>2.8000000000000001E-2</v>
      </c>
      <c r="K18">
        <v>175</v>
      </c>
      <c r="L18">
        <v>208</v>
      </c>
      <c r="M18">
        <v>220</v>
      </c>
      <c r="N18">
        <v>0</v>
      </c>
      <c r="O18" s="4">
        <f>_xlfn.XLOOKUP(B18,[1]bus!A:A,[1]bus!K:K,"MISS")</f>
        <v>75.504966724050675</v>
      </c>
      <c r="P18" s="4">
        <f t="shared" si="1"/>
        <v>226.51490017215201</v>
      </c>
      <c r="Q18">
        <f t="shared" si="0"/>
        <v>350</v>
      </c>
      <c r="R18">
        <f>Q17/K17-1</f>
        <v>1</v>
      </c>
      <c r="S18">
        <f>400000*R18*D18</f>
        <v>10800000</v>
      </c>
    </row>
    <row r="19" spans="1:19" hidden="1" x14ac:dyDescent="0.2">
      <c r="A19" t="s">
        <v>260</v>
      </c>
      <c r="B19">
        <v>105</v>
      </c>
      <c r="C19">
        <v>110</v>
      </c>
      <c r="D19">
        <v>23</v>
      </c>
      <c r="E19">
        <v>0.34</v>
      </c>
      <c r="F19">
        <v>10</v>
      </c>
      <c r="G19">
        <v>1.2</v>
      </c>
      <c r="H19">
        <v>2.3E-2</v>
      </c>
      <c r="I19">
        <v>8.7999999999999995E-2</v>
      </c>
      <c r="J19">
        <v>2.4E-2</v>
      </c>
      <c r="K19">
        <v>175</v>
      </c>
      <c r="L19">
        <v>208</v>
      </c>
      <c r="M19">
        <v>220</v>
      </c>
      <c r="N19">
        <v>0</v>
      </c>
      <c r="O19" s="4">
        <f>_xlfn.XLOOKUP(B19,[1]bus!A:A,[1]bus!K:K,"MISS")</f>
        <v>72.367119605522504</v>
      </c>
      <c r="P19" s="4">
        <f t="shared" si="1"/>
        <v>217.10135881656751</v>
      </c>
      <c r="Q19">
        <f t="shared" si="0"/>
        <v>350</v>
      </c>
      <c r="R19">
        <v>0</v>
      </c>
      <c r="S19">
        <v>-1</v>
      </c>
    </row>
    <row r="20" spans="1:19" x14ac:dyDescent="0.2">
      <c r="A20" t="s">
        <v>261</v>
      </c>
      <c r="B20">
        <v>105</v>
      </c>
      <c r="C20">
        <v>110</v>
      </c>
      <c r="D20">
        <v>23</v>
      </c>
      <c r="E20">
        <v>0.34</v>
      </c>
      <c r="F20">
        <v>10</v>
      </c>
      <c r="G20">
        <v>1.2</v>
      </c>
      <c r="H20">
        <v>2.3E-2</v>
      </c>
      <c r="I20">
        <v>8.7999999999999995E-2</v>
      </c>
      <c r="J20">
        <v>2.4E-2</v>
      </c>
      <c r="K20">
        <v>175</v>
      </c>
      <c r="L20">
        <v>208</v>
      </c>
      <c r="M20">
        <v>220</v>
      </c>
      <c r="N20">
        <v>0</v>
      </c>
      <c r="O20" s="4">
        <f>_xlfn.XLOOKUP(B20,[1]bus!A:A,[1]bus!K:K,"MISS")</f>
        <v>72.367119605522504</v>
      </c>
      <c r="P20" s="4">
        <f t="shared" si="1"/>
        <v>217.10135881656751</v>
      </c>
      <c r="Q20">
        <f t="shared" si="0"/>
        <v>350</v>
      </c>
      <c r="R20">
        <f>Q19/K19-1</f>
        <v>1</v>
      </c>
      <c r="S20">
        <f>400000*R20*D20</f>
        <v>9200000</v>
      </c>
    </row>
    <row r="21" spans="1:19" hidden="1" x14ac:dyDescent="0.2">
      <c r="A21" t="s">
        <v>262</v>
      </c>
      <c r="B21">
        <v>106</v>
      </c>
      <c r="C21">
        <v>110</v>
      </c>
      <c r="D21">
        <v>16</v>
      </c>
      <c r="E21">
        <v>0.33</v>
      </c>
      <c r="F21">
        <v>35</v>
      </c>
      <c r="G21">
        <v>0</v>
      </c>
      <c r="H21">
        <v>1.4E-2</v>
      </c>
      <c r="I21">
        <v>6.0999999999999999E-2</v>
      </c>
      <c r="J21">
        <v>2.4590000000000001</v>
      </c>
      <c r="K21">
        <v>175</v>
      </c>
      <c r="L21">
        <v>193</v>
      </c>
      <c r="M21">
        <v>200</v>
      </c>
      <c r="N21">
        <v>0</v>
      </c>
      <c r="O21" s="4">
        <f>_xlfn.XLOOKUP(B21,[1]bus!A:A,[1]bus!K:K,"MISS")</f>
        <v>138.85243966167826</v>
      </c>
      <c r="P21" s="4">
        <f t="shared" si="1"/>
        <v>416.55731898503478</v>
      </c>
      <c r="Q21">
        <f t="shared" si="0"/>
        <v>525</v>
      </c>
      <c r="R21">
        <v>0</v>
      </c>
      <c r="S21">
        <v>-1</v>
      </c>
    </row>
    <row r="22" spans="1:19" x14ac:dyDescent="0.2">
      <c r="A22" t="s">
        <v>263</v>
      </c>
      <c r="B22">
        <v>106</v>
      </c>
      <c r="C22">
        <v>110</v>
      </c>
      <c r="D22">
        <v>16</v>
      </c>
      <c r="E22">
        <v>0.33</v>
      </c>
      <c r="F22">
        <v>35</v>
      </c>
      <c r="G22">
        <v>0</v>
      </c>
      <c r="H22">
        <v>1.4E-2</v>
      </c>
      <c r="I22">
        <v>6.0999999999999999E-2</v>
      </c>
      <c r="J22">
        <v>2.4590000000000001</v>
      </c>
      <c r="K22">
        <v>175</v>
      </c>
      <c r="L22">
        <v>193</v>
      </c>
      <c r="M22">
        <v>200</v>
      </c>
      <c r="N22">
        <v>0</v>
      </c>
      <c r="O22" s="4">
        <f>_xlfn.XLOOKUP(B22,[1]bus!A:A,[1]bus!K:K,"MISS")</f>
        <v>138.85243966167826</v>
      </c>
      <c r="P22" s="4">
        <f t="shared" si="1"/>
        <v>416.55731898503478</v>
      </c>
      <c r="Q22">
        <f t="shared" si="0"/>
        <v>525</v>
      </c>
      <c r="R22">
        <v>1</v>
      </c>
      <c r="S22">
        <f>400000*R22*D22</f>
        <v>6400000</v>
      </c>
    </row>
    <row r="23" spans="1:19" x14ac:dyDescent="0.2">
      <c r="A23" t="s">
        <v>264</v>
      </c>
      <c r="B23">
        <v>106</v>
      </c>
      <c r="C23">
        <v>110</v>
      </c>
      <c r="D23">
        <v>16</v>
      </c>
      <c r="E23">
        <v>0.33</v>
      </c>
      <c r="F23">
        <v>35</v>
      </c>
      <c r="G23">
        <v>0</v>
      </c>
      <c r="H23">
        <v>1.4E-2</v>
      </c>
      <c r="I23">
        <v>6.0999999999999999E-2</v>
      </c>
      <c r="J23">
        <v>2.4590000000000001</v>
      </c>
      <c r="K23">
        <v>175</v>
      </c>
      <c r="L23">
        <v>193</v>
      </c>
      <c r="M23">
        <v>200</v>
      </c>
      <c r="N23">
        <v>0</v>
      </c>
      <c r="O23" s="4">
        <f>_xlfn.XLOOKUP(B23,[1]bus!A:A,[1]bus!K:K,"MISS")</f>
        <v>138.85243966167826</v>
      </c>
      <c r="P23" s="4">
        <f t="shared" si="1"/>
        <v>416.55731898503478</v>
      </c>
      <c r="Q23">
        <f t="shared" si="0"/>
        <v>525</v>
      </c>
      <c r="R23">
        <v>1</v>
      </c>
      <c r="S23">
        <f>400000*R23*D23</f>
        <v>6400000</v>
      </c>
    </row>
    <row r="24" spans="1:19" hidden="1" x14ac:dyDescent="0.2">
      <c r="A24" t="s">
        <v>265</v>
      </c>
      <c r="B24">
        <v>107</v>
      </c>
      <c r="C24">
        <v>108</v>
      </c>
      <c r="D24">
        <v>16</v>
      </c>
      <c r="E24">
        <v>0.3</v>
      </c>
      <c r="F24">
        <v>10</v>
      </c>
      <c r="G24">
        <v>0.8</v>
      </c>
      <c r="H24">
        <v>1.6E-2</v>
      </c>
      <c r="I24">
        <v>6.0999999999999999E-2</v>
      </c>
      <c r="J24">
        <v>1.7000000000000001E-2</v>
      </c>
      <c r="K24">
        <v>175</v>
      </c>
      <c r="L24">
        <v>208</v>
      </c>
      <c r="M24">
        <v>220</v>
      </c>
      <c r="N24">
        <v>0</v>
      </c>
      <c r="O24" s="4">
        <f>_xlfn.XLOOKUP(B24,[1]bus!A:A,[1]bus!K:K,"MISS")</f>
        <v>127.47548783981962</v>
      </c>
      <c r="P24" s="4">
        <f t="shared" si="1"/>
        <v>382.42646351945888</v>
      </c>
      <c r="Q24">
        <f t="shared" si="0"/>
        <v>525</v>
      </c>
      <c r="R24">
        <v>0</v>
      </c>
      <c r="S24">
        <v>-1</v>
      </c>
    </row>
    <row r="25" spans="1:19" x14ac:dyDescent="0.2">
      <c r="A25" t="s">
        <v>266</v>
      </c>
      <c r="B25">
        <v>107</v>
      </c>
      <c r="C25">
        <v>108</v>
      </c>
      <c r="D25">
        <v>16</v>
      </c>
      <c r="E25">
        <v>0.3</v>
      </c>
      <c r="F25">
        <v>10</v>
      </c>
      <c r="G25">
        <v>0.8</v>
      </c>
      <c r="H25">
        <v>1.6E-2</v>
      </c>
      <c r="I25">
        <v>6.0999999999999999E-2</v>
      </c>
      <c r="J25">
        <v>1.7000000000000001E-2</v>
      </c>
      <c r="K25">
        <v>175</v>
      </c>
      <c r="L25">
        <v>208</v>
      </c>
      <c r="M25">
        <v>220</v>
      </c>
      <c r="N25">
        <v>0</v>
      </c>
      <c r="O25" s="4">
        <f>_xlfn.XLOOKUP(B25,[1]bus!A:A,[1]bus!K:K,"MISS")</f>
        <v>127.47548783981962</v>
      </c>
      <c r="P25" s="4">
        <f t="shared" si="1"/>
        <v>382.42646351945888</v>
      </c>
      <c r="Q25">
        <f t="shared" si="0"/>
        <v>525</v>
      </c>
      <c r="R25">
        <v>1</v>
      </c>
      <c r="S25">
        <f>400000*R25*D25</f>
        <v>6400000</v>
      </c>
    </row>
    <row r="26" spans="1:19" x14ac:dyDescent="0.2">
      <c r="A26" t="s">
        <v>267</v>
      </c>
      <c r="B26">
        <v>107</v>
      </c>
      <c r="C26">
        <v>108</v>
      </c>
      <c r="D26">
        <v>16</v>
      </c>
      <c r="E26">
        <v>0.3</v>
      </c>
      <c r="F26">
        <v>10</v>
      </c>
      <c r="G26">
        <v>0.8</v>
      </c>
      <c r="H26">
        <v>1.6E-2</v>
      </c>
      <c r="I26">
        <v>6.0999999999999999E-2</v>
      </c>
      <c r="J26">
        <v>1.7000000000000001E-2</v>
      </c>
      <c r="K26">
        <v>175</v>
      </c>
      <c r="L26">
        <v>208</v>
      </c>
      <c r="M26">
        <v>220</v>
      </c>
      <c r="N26">
        <v>0</v>
      </c>
      <c r="O26" s="4">
        <f>_xlfn.XLOOKUP(B26,[1]bus!A:A,[1]bus!K:K,"MISS")</f>
        <v>127.47548783981962</v>
      </c>
      <c r="P26" s="4">
        <f t="shared" si="1"/>
        <v>382.42646351945888</v>
      </c>
      <c r="Q26">
        <f t="shared" si="0"/>
        <v>525</v>
      </c>
      <c r="R26">
        <v>1</v>
      </c>
      <c r="S26">
        <f>400000*R26*D26</f>
        <v>6400000</v>
      </c>
    </row>
    <row r="27" spans="1:19" x14ac:dyDescent="0.2">
      <c r="A27" t="s">
        <v>268</v>
      </c>
      <c r="B27">
        <v>107</v>
      </c>
      <c r="C27">
        <v>203</v>
      </c>
      <c r="D27">
        <v>42</v>
      </c>
      <c r="E27">
        <v>0.44</v>
      </c>
      <c r="F27">
        <v>10</v>
      </c>
      <c r="G27">
        <v>2.2000000000000002</v>
      </c>
      <c r="H27">
        <v>4.2000000000000003E-2</v>
      </c>
      <c r="I27">
        <v>0.161</v>
      </c>
      <c r="J27">
        <v>4.3999999999999997E-2</v>
      </c>
      <c r="K27">
        <v>175</v>
      </c>
      <c r="L27">
        <v>208</v>
      </c>
      <c r="M27">
        <v>220</v>
      </c>
      <c r="N27">
        <v>0</v>
      </c>
      <c r="O27" s="4">
        <f>_xlfn.XLOOKUP(B27,[1]bus!A:A,[1]bus!K:K,"MISS")</f>
        <v>127.47548783981962</v>
      </c>
      <c r="P27" s="4">
        <f t="shared" si="1"/>
        <v>382.42646351945888</v>
      </c>
      <c r="Q27">
        <f t="shared" si="0"/>
        <v>525</v>
      </c>
      <c r="R27">
        <v>0</v>
      </c>
      <c r="S27">
        <f>900000*R27*D27</f>
        <v>0</v>
      </c>
    </row>
    <row r="28" spans="1:19" x14ac:dyDescent="0.2">
      <c r="A28" t="s">
        <v>269</v>
      </c>
      <c r="B28">
        <v>107</v>
      </c>
      <c r="C28">
        <v>203</v>
      </c>
      <c r="D28">
        <v>42</v>
      </c>
      <c r="E28">
        <v>0.44</v>
      </c>
      <c r="F28">
        <v>10</v>
      </c>
      <c r="G28">
        <v>2.2000000000000002</v>
      </c>
      <c r="H28">
        <v>4.2000000000000003E-2</v>
      </c>
      <c r="I28">
        <v>0.161</v>
      </c>
      <c r="J28">
        <v>4.3999999999999997E-2</v>
      </c>
      <c r="K28">
        <v>175</v>
      </c>
      <c r="L28">
        <v>208</v>
      </c>
      <c r="M28">
        <v>220</v>
      </c>
      <c r="N28">
        <v>0</v>
      </c>
      <c r="O28" s="4">
        <f>_xlfn.XLOOKUP(B28,[1]bus!A:A,[1]bus!K:K,"MISS")</f>
        <v>127.47548783981962</v>
      </c>
      <c r="P28" s="4">
        <f t="shared" si="1"/>
        <v>382.42646351945888</v>
      </c>
      <c r="Q28">
        <f t="shared" si="0"/>
        <v>525</v>
      </c>
      <c r="R28">
        <v>1</v>
      </c>
      <c r="S28">
        <f>400000*R28*D28</f>
        <v>16800000</v>
      </c>
    </row>
    <row r="29" spans="1:19" x14ac:dyDescent="0.2">
      <c r="A29" t="s">
        <v>270</v>
      </c>
      <c r="B29">
        <v>107</v>
      </c>
      <c r="C29">
        <v>203</v>
      </c>
      <c r="D29">
        <v>42</v>
      </c>
      <c r="E29">
        <v>0.44</v>
      </c>
      <c r="F29">
        <v>10</v>
      </c>
      <c r="G29">
        <v>2.2000000000000002</v>
      </c>
      <c r="H29">
        <v>4.2000000000000003E-2</v>
      </c>
      <c r="I29">
        <v>0.161</v>
      </c>
      <c r="J29">
        <v>4.3999999999999997E-2</v>
      </c>
      <c r="K29">
        <v>175</v>
      </c>
      <c r="L29">
        <v>208</v>
      </c>
      <c r="M29">
        <v>220</v>
      </c>
      <c r="N29">
        <v>0</v>
      </c>
      <c r="O29" s="4">
        <f>_xlfn.XLOOKUP(B29,[1]bus!A:A,[1]bus!K:K,"MISS")</f>
        <v>127.47548783981962</v>
      </c>
      <c r="P29" s="4">
        <f t="shared" si="1"/>
        <v>382.42646351945888</v>
      </c>
      <c r="Q29">
        <f t="shared" si="0"/>
        <v>525</v>
      </c>
      <c r="R29">
        <v>1</v>
      </c>
      <c r="S29">
        <f>400000*R29*D29</f>
        <v>16800000</v>
      </c>
    </row>
    <row r="30" spans="1:19" hidden="1" x14ac:dyDescent="0.2">
      <c r="A30" t="s">
        <v>271</v>
      </c>
      <c r="B30">
        <v>108</v>
      </c>
      <c r="C30">
        <v>109</v>
      </c>
      <c r="D30">
        <v>43</v>
      </c>
      <c r="E30">
        <v>0.44</v>
      </c>
      <c r="F30">
        <v>10</v>
      </c>
      <c r="G30">
        <v>2.2999999999999998</v>
      </c>
      <c r="H30">
        <v>4.2999999999999997E-2</v>
      </c>
      <c r="I30">
        <v>0.16500000000000001</v>
      </c>
      <c r="J30">
        <v>4.4999999999999998E-2</v>
      </c>
      <c r="K30">
        <v>175</v>
      </c>
      <c r="L30">
        <v>208</v>
      </c>
      <c r="M30">
        <v>220</v>
      </c>
      <c r="N30">
        <v>0</v>
      </c>
      <c r="O30" s="4">
        <f>_xlfn.XLOOKUP(B30,[1]bus!A:A,[1]bus!K:K,"MISS")</f>
        <v>174.54512310574592</v>
      </c>
      <c r="P30" s="4">
        <f t="shared" si="1"/>
        <v>523.63536931723775</v>
      </c>
      <c r="Q30">
        <f t="shared" si="0"/>
        <v>525</v>
      </c>
      <c r="R30">
        <v>0</v>
      </c>
      <c r="S30">
        <v>-1</v>
      </c>
    </row>
    <row r="31" spans="1:19" x14ac:dyDescent="0.2">
      <c r="A31" t="s">
        <v>272</v>
      </c>
      <c r="B31">
        <v>108</v>
      </c>
      <c r="C31">
        <v>109</v>
      </c>
      <c r="D31">
        <v>43</v>
      </c>
      <c r="E31">
        <v>0.44</v>
      </c>
      <c r="F31">
        <v>10</v>
      </c>
      <c r="G31">
        <v>2.2999999999999998</v>
      </c>
      <c r="H31">
        <v>4.2999999999999997E-2</v>
      </c>
      <c r="I31">
        <v>0.16500000000000001</v>
      </c>
      <c r="J31">
        <v>4.4999999999999998E-2</v>
      </c>
      <c r="K31">
        <v>175</v>
      </c>
      <c r="L31">
        <v>208</v>
      </c>
      <c r="M31">
        <v>220</v>
      </c>
      <c r="N31">
        <v>0</v>
      </c>
      <c r="O31" s="4">
        <f>_xlfn.XLOOKUP(B31,[1]bus!A:A,[1]bus!K:K,"MISS")</f>
        <v>174.54512310574592</v>
      </c>
      <c r="P31" s="4">
        <f t="shared" si="1"/>
        <v>523.63536931723775</v>
      </c>
      <c r="Q31">
        <f t="shared" si="0"/>
        <v>525</v>
      </c>
      <c r="R31">
        <v>1</v>
      </c>
      <c r="S31">
        <f>400000*R31*D31</f>
        <v>17200000</v>
      </c>
    </row>
    <row r="32" spans="1:19" x14ac:dyDescent="0.2">
      <c r="A32" t="s">
        <v>273</v>
      </c>
      <c r="B32">
        <v>108</v>
      </c>
      <c r="C32">
        <v>109</v>
      </c>
      <c r="D32">
        <v>43</v>
      </c>
      <c r="E32">
        <v>0.44</v>
      </c>
      <c r="F32">
        <v>10</v>
      </c>
      <c r="G32">
        <v>2.2999999999999998</v>
      </c>
      <c r="H32">
        <v>4.2999999999999997E-2</v>
      </c>
      <c r="I32">
        <v>0.16500000000000001</v>
      </c>
      <c r="J32">
        <v>4.4999999999999998E-2</v>
      </c>
      <c r="K32">
        <v>175</v>
      </c>
      <c r="L32">
        <v>208</v>
      </c>
      <c r="M32">
        <v>220</v>
      </c>
      <c r="N32">
        <v>0</v>
      </c>
      <c r="O32" s="4">
        <f>_xlfn.XLOOKUP(B32,[1]bus!A:A,[1]bus!K:K,"MISS")</f>
        <v>174.54512310574592</v>
      </c>
      <c r="P32" s="4">
        <f t="shared" si="1"/>
        <v>523.63536931723775</v>
      </c>
      <c r="Q32">
        <f t="shared" si="0"/>
        <v>525</v>
      </c>
      <c r="R32">
        <v>1</v>
      </c>
      <c r="S32">
        <f>400000*R32*D32</f>
        <v>17200000</v>
      </c>
    </row>
    <row r="33" spans="1:19" hidden="1" x14ac:dyDescent="0.2">
      <c r="A33" t="s">
        <v>274</v>
      </c>
      <c r="B33">
        <v>108</v>
      </c>
      <c r="C33">
        <v>110</v>
      </c>
      <c r="D33">
        <v>43</v>
      </c>
      <c r="E33">
        <v>0.44</v>
      </c>
      <c r="F33">
        <v>10</v>
      </c>
      <c r="G33">
        <v>2.2999999999999998</v>
      </c>
      <c r="H33">
        <v>4.2999999999999997E-2</v>
      </c>
      <c r="I33">
        <v>0.16500000000000001</v>
      </c>
      <c r="J33">
        <v>4.4999999999999998E-2</v>
      </c>
      <c r="K33">
        <v>175</v>
      </c>
      <c r="L33">
        <v>208</v>
      </c>
      <c r="M33">
        <v>220</v>
      </c>
      <c r="N33">
        <v>0</v>
      </c>
      <c r="O33" s="4">
        <f>_xlfn.XLOOKUP(B33,[1]bus!A:A,[1]bus!K:K,"MISS")</f>
        <v>174.54512310574592</v>
      </c>
      <c r="P33" s="4">
        <f t="shared" si="1"/>
        <v>523.63536931723775</v>
      </c>
      <c r="Q33">
        <f t="shared" si="0"/>
        <v>525</v>
      </c>
      <c r="R33">
        <v>0</v>
      </c>
      <c r="S33">
        <v>-1</v>
      </c>
    </row>
    <row r="34" spans="1:19" x14ac:dyDescent="0.2">
      <c r="A34" t="s">
        <v>275</v>
      </c>
      <c r="B34">
        <v>108</v>
      </c>
      <c r="C34">
        <v>110</v>
      </c>
      <c r="D34">
        <v>43</v>
      </c>
      <c r="E34">
        <v>0.44</v>
      </c>
      <c r="F34">
        <v>10</v>
      </c>
      <c r="G34">
        <v>2.2999999999999998</v>
      </c>
      <c r="H34">
        <v>4.2999999999999997E-2</v>
      </c>
      <c r="I34">
        <v>0.16500000000000001</v>
      </c>
      <c r="J34">
        <v>4.4999999999999998E-2</v>
      </c>
      <c r="K34">
        <v>175</v>
      </c>
      <c r="L34">
        <v>208</v>
      </c>
      <c r="M34">
        <v>220</v>
      </c>
      <c r="N34">
        <v>0</v>
      </c>
      <c r="O34" s="4">
        <f>_xlfn.XLOOKUP(B34,[1]bus!A:A,[1]bus!K:K,"MISS")</f>
        <v>174.54512310574592</v>
      </c>
      <c r="P34" s="4">
        <f t="shared" si="1"/>
        <v>523.63536931723775</v>
      </c>
      <c r="Q34">
        <f t="shared" si="0"/>
        <v>525</v>
      </c>
      <c r="R34">
        <v>1</v>
      </c>
      <c r="S34">
        <f>400000*R34*D34</f>
        <v>17200000</v>
      </c>
    </row>
    <row r="35" spans="1:19" x14ac:dyDescent="0.2">
      <c r="A35" t="s">
        <v>276</v>
      </c>
      <c r="B35">
        <v>108</v>
      </c>
      <c r="C35">
        <v>110</v>
      </c>
      <c r="D35">
        <v>43</v>
      </c>
      <c r="E35">
        <v>0.44</v>
      </c>
      <c r="F35">
        <v>10</v>
      </c>
      <c r="G35">
        <v>2.2999999999999998</v>
      </c>
      <c r="H35">
        <v>4.2999999999999997E-2</v>
      </c>
      <c r="I35">
        <v>0.16500000000000001</v>
      </c>
      <c r="J35">
        <v>4.4999999999999998E-2</v>
      </c>
      <c r="K35">
        <v>175</v>
      </c>
      <c r="L35">
        <v>208</v>
      </c>
      <c r="M35">
        <v>220</v>
      </c>
      <c r="N35">
        <v>0</v>
      </c>
      <c r="O35" s="4">
        <f>_xlfn.XLOOKUP(B35,[1]bus!A:A,[1]bus!K:K,"MISS")</f>
        <v>174.54512310574592</v>
      </c>
      <c r="P35" s="4">
        <f t="shared" si="1"/>
        <v>523.63536931723775</v>
      </c>
      <c r="Q35">
        <f t="shared" si="0"/>
        <v>525</v>
      </c>
      <c r="R35">
        <v>1</v>
      </c>
      <c r="S35">
        <f>400000*R35*D35</f>
        <v>17200000</v>
      </c>
    </row>
    <row r="36" spans="1:19" hidden="1" x14ac:dyDescent="0.2">
      <c r="A36" t="s">
        <v>277</v>
      </c>
      <c r="B36">
        <v>109</v>
      </c>
      <c r="C36">
        <v>111</v>
      </c>
      <c r="D36">
        <v>0</v>
      </c>
      <c r="E36">
        <v>0.02</v>
      </c>
      <c r="F36">
        <v>768</v>
      </c>
      <c r="G36">
        <v>0</v>
      </c>
      <c r="H36">
        <v>2E-3</v>
      </c>
      <c r="I36">
        <v>8.4000000000000005E-2</v>
      </c>
      <c r="J36">
        <v>0</v>
      </c>
      <c r="K36">
        <v>400</v>
      </c>
      <c r="L36">
        <v>510</v>
      </c>
      <c r="M36">
        <v>600</v>
      </c>
      <c r="N36">
        <v>1.03</v>
      </c>
      <c r="O36" s="4">
        <f>_xlfn.XLOOKUP(B36,[1]bus!A:A,[1]bus!K:K,"MISS")</f>
        <v>178.66449003649271</v>
      </c>
      <c r="P36" s="4">
        <f t="shared" si="1"/>
        <v>535.99347010947815</v>
      </c>
      <c r="Q36">
        <f t="shared" si="0"/>
        <v>800</v>
      </c>
      <c r="R36">
        <v>0</v>
      </c>
      <c r="S36">
        <v>-1</v>
      </c>
    </row>
    <row r="37" spans="1:19" x14ac:dyDescent="0.2">
      <c r="A37" t="s">
        <v>278</v>
      </c>
      <c r="B37">
        <v>109</v>
      </c>
      <c r="C37">
        <v>111</v>
      </c>
      <c r="D37">
        <v>0</v>
      </c>
      <c r="E37">
        <v>0.02</v>
      </c>
      <c r="F37">
        <v>768</v>
      </c>
      <c r="G37">
        <v>0</v>
      </c>
      <c r="H37">
        <v>2E-3</v>
      </c>
      <c r="I37">
        <v>8.4000000000000005E-2</v>
      </c>
      <c r="J37">
        <v>0</v>
      </c>
      <c r="K37">
        <v>400</v>
      </c>
      <c r="L37">
        <v>510</v>
      </c>
      <c r="M37">
        <v>600</v>
      </c>
      <c r="N37">
        <v>1.03</v>
      </c>
      <c r="O37" s="4">
        <f>_xlfn.XLOOKUP(B37,[1]bus!A:A,[1]bus!K:K,"MISS")</f>
        <v>178.66449003649271</v>
      </c>
      <c r="P37" s="4">
        <f t="shared" si="1"/>
        <v>535.99347010947815</v>
      </c>
      <c r="Q37">
        <f t="shared" si="0"/>
        <v>800</v>
      </c>
      <c r="R37">
        <f>Q36/K36-1</f>
        <v>1</v>
      </c>
      <c r="S37">
        <f>900000*R37*D37</f>
        <v>0</v>
      </c>
    </row>
    <row r="38" spans="1:19" hidden="1" x14ac:dyDescent="0.2">
      <c r="A38" t="s">
        <v>279</v>
      </c>
      <c r="B38">
        <v>109</v>
      </c>
      <c r="C38">
        <v>112</v>
      </c>
      <c r="D38">
        <v>0</v>
      </c>
      <c r="E38">
        <v>0.02</v>
      </c>
      <c r="F38">
        <v>768</v>
      </c>
      <c r="G38">
        <v>0</v>
      </c>
      <c r="H38">
        <v>2E-3</v>
      </c>
      <c r="I38">
        <v>8.4000000000000005E-2</v>
      </c>
      <c r="J38">
        <v>0</v>
      </c>
      <c r="K38">
        <v>400</v>
      </c>
      <c r="L38">
        <v>510</v>
      </c>
      <c r="M38">
        <v>600</v>
      </c>
      <c r="N38">
        <v>1.03</v>
      </c>
      <c r="O38" s="4">
        <f>_xlfn.XLOOKUP(B38,[1]bus!A:A,[1]bus!K:K,"MISS")</f>
        <v>178.66449003649271</v>
      </c>
      <c r="P38" s="4">
        <f t="shared" si="1"/>
        <v>535.99347010947815</v>
      </c>
      <c r="Q38">
        <f t="shared" si="0"/>
        <v>800</v>
      </c>
      <c r="R38">
        <v>0</v>
      </c>
      <c r="S38">
        <v>-1</v>
      </c>
    </row>
    <row r="39" spans="1:19" x14ac:dyDescent="0.2">
      <c r="A39" t="s">
        <v>280</v>
      </c>
      <c r="B39">
        <v>109</v>
      </c>
      <c r="C39">
        <v>112</v>
      </c>
      <c r="D39">
        <v>0</v>
      </c>
      <c r="E39">
        <v>0.02</v>
      </c>
      <c r="F39">
        <v>768</v>
      </c>
      <c r="G39">
        <v>0</v>
      </c>
      <c r="H39">
        <v>2E-3</v>
      </c>
      <c r="I39">
        <v>8.4000000000000005E-2</v>
      </c>
      <c r="J39">
        <v>0</v>
      </c>
      <c r="K39">
        <v>400</v>
      </c>
      <c r="L39">
        <v>510</v>
      </c>
      <c r="M39">
        <v>600</v>
      </c>
      <c r="N39">
        <v>1.03</v>
      </c>
      <c r="O39" s="4">
        <f>_xlfn.XLOOKUP(B39,[1]bus!A:A,[1]bus!K:K,"MISS")</f>
        <v>178.66449003649271</v>
      </c>
      <c r="P39" s="4">
        <f t="shared" si="1"/>
        <v>535.99347010947815</v>
      </c>
      <c r="Q39">
        <f t="shared" si="0"/>
        <v>800</v>
      </c>
      <c r="R39">
        <f>Q38/K38-1</f>
        <v>1</v>
      </c>
      <c r="S39">
        <f>900000*R39*D39</f>
        <v>0</v>
      </c>
    </row>
    <row r="40" spans="1:19" hidden="1" x14ac:dyDescent="0.2">
      <c r="A40" t="s">
        <v>281</v>
      </c>
      <c r="B40">
        <v>110</v>
      </c>
      <c r="C40">
        <v>111</v>
      </c>
      <c r="D40">
        <v>0</v>
      </c>
      <c r="E40">
        <v>0.02</v>
      </c>
      <c r="F40">
        <v>768</v>
      </c>
      <c r="G40">
        <v>0</v>
      </c>
      <c r="H40">
        <v>2E-3</v>
      </c>
      <c r="I40">
        <v>8.4000000000000005E-2</v>
      </c>
      <c r="J40">
        <v>0</v>
      </c>
      <c r="K40">
        <v>400</v>
      </c>
      <c r="L40">
        <v>510</v>
      </c>
      <c r="M40">
        <v>600</v>
      </c>
      <c r="N40">
        <v>1.0149999999999999</v>
      </c>
      <c r="O40" s="4">
        <f>_xlfn.XLOOKUP(B40,[1]bus!A:A,[1]bus!K:K,"MISS")</f>
        <v>199.06029237394384</v>
      </c>
      <c r="P40" s="4">
        <f t="shared" si="1"/>
        <v>597.18087712183149</v>
      </c>
      <c r="Q40">
        <f t="shared" si="0"/>
        <v>800</v>
      </c>
      <c r="R40">
        <v>0</v>
      </c>
      <c r="S40">
        <v>-1</v>
      </c>
    </row>
    <row r="41" spans="1:19" x14ac:dyDescent="0.2">
      <c r="A41" t="s">
        <v>282</v>
      </c>
      <c r="B41">
        <v>110</v>
      </c>
      <c r="C41">
        <v>111</v>
      </c>
      <c r="D41">
        <v>0</v>
      </c>
      <c r="E41">
        <v>0.02</v>
      </c>
      <c r="F41">
        <v>768</v>
      </c>
      <c r="G41">
        <v>0</v>
      </c>
      <c r="H41">
        <v>2E-3</v>
      </c>
      <c r="I41">
        <v>8.4000000000000005E-2</v>
      </c>
      <c r="J41">
        <v>0</v>
      </c>
      <c r="K41">
        <v>400</v>
      </c>
      <c r="L41">
        <v>510</v>
      </c>
      <c r="M41">
        <v>600</v>
      </c>
      <c r="N41">
        <v>1.0149999999999999</v>
      </c>
      <c r="O41" s="4">
        <f>_xlfn.XLOOKUP(B41,[1]bus!A:A,[1]bus!K:K,"MISS")</f>
        <v>199.06029237394384</v>
      </c>
      <c r="P41" s="4">
        <f t="shared" si="1"/>
        <v>597.18087712183149</v>
      </c>
      <c r="Q41">
        <f t="shared" si="0"/>
        <v>800</v>
      </c>
      <c r="R41">
        <f>Q40/K40-1</f>
        <v>1</v>
      </c>
      <c r="S41">
        <f>900000*R41*D41</f>
        <v>0</v>
      </c>
    </row>
    <row r="42" spans="1:19" hidden="1" x14ac:dyDescent="0.2">
      <c r="A42" t="s">
        <v>283</v>
      </c>
      <c r="B42">
        <v>110</v>
      </c>
      <c r="C42">
        <v>112</v>
      </c>
      <c r="D42">
        <v>0</v>
      </c>
      <c r="E42">
        <v>0.02</v>
      </c>
      <c r="F42">
        <v>768</v>
      </c>
      <c r="G42">
        <v>0</v>
      </c>
      <c r="H42">
        <v>2E-3</v>
      </c>
      <c r="I42">
        <v>8.4000000000000005E-2</v>
      </c>
      <c r="J42">
        <v>0</v>
      </c>
      <c r="K42">
        <v>400</v>
      </c>
      <c r="L42">
        <v>510</v>
      </c>
      <c r="M42">
        <v>600</v>
      </c>
      <c r="N42">
        <v>1.0149999999999999</v>
      </c>
      <c r="O42" s="4">
        <f>_xlfn.XLOOKUP(B42,[1]bus!A:A,[1]bus!K:K,"MISS")</f>
        <v>199.06029237394384</v>
      </c>
      <c r="P42" s="4">
        <f t="shared" si="1"/>
        <v>597.18087712183149</v>
      </c>
      <c r="Q42">
        <f t="shared" si="0"/>
        <v>800</v>
      </c>
      <c r="R42">
        <v>0</v>
      </c>
      <c r="S42">
        <v>-1</v>
      </c>
    </row>
    <row r="43" spans="1:19" x14ac:dyDescent="0.2">
      <c r="A43" t="s">
        <v>284</v>
      </c>
      <c r="B43">
        <v>110</v>
      </c>
      <c r="C43">
        <v>112</v>
      </c>
      <c r="D43">
        <v>0</v>
      </c>
      <c r="E43">
        <v>0.02</v>
      </c>
      <c r="F43">
        <v>768</v>
      </c>
      <c r="G43">
        <v>0</v>
      </c>
      <c r="H43">
        <v>2E-3</v>
      </c>
      <c r="I43">
        <v>8.4000000000000005E-2</v>
      </c>
      <c r="J43">
        <v>0</v>
      </c>
      <c r="K43">
        <v>400</v>
      </c>
      <c r="L43">
        <v>510</v>
      </c>
      <c r="M43">
        <v>600</v>
      </c>
      <c r="N43">
        <v>1.0149999999999999</v>
      </c>
      <c r="O43" s="4">
        <f>_xlfn.XLOOKUP(B43,[1]bus!A:A,[1]bus!K:K,"MISS")</f>
        <v>199.06029237394384</v>
      </c>
      <c r="P43" s="4">
        <f t="shared" si="1"/>
        <v>597.18087712183149</v>
      </c>
      <c r="Q43">
        <f t="shared" si="0"/>
        <v>800</v>
      </c>
      <c r="R43">
        <f>Q42/K42-1</f>
        <v>1</v>
      </c>
      <c r="S43">
        <f>900000*R43*D43</f>
        <v>0</v>
      </c>
    </row>
    <row r="44" spans="1:19" hidden="1" x14ac:dyDescent="0.2">
      <c r="A44" t="s">
        <v>285</v>
      </c>
      <c r="B44">
        <v>111</v>
      </c>
      <c r="C44">
        <v>113</v>
      </c>
      <c r="D44">
        <v>33</v>
      </c>
      <c r="E44">
        <v>0.4</v>
      </c>
      <c r="F44">
        <v>11</v>
      </c>
      <c r="G44">
        <v>0.8</v>
      </c>
      <c r="H44">
        <v>6.0000000000000001E-3</v>
      </c>
      <c r="I44">
        <v>4.8000000000000001E-2</v>
      </c>
      <c r="J44">
        <v>0.1</v>
      </c>
      <c r="K44">
        <v>500</v>
      </c>
      <c r="L44">
        <v>600</v>
      </c>
      <c r="M44">
        <v>625</v>
      </c>
      <c r="N44">
        <v>0</v>
      </c>
      <c r="O44" s="4">
        <f>_xlfn.XLOOKUP(B44,[1]bus!A:A,[1]bus!K:K,"MISS")</f>
        <v>0</v>
      </c>
      <c r="P44" s="4">
        <f t="shared" si="1"/>
        <v>0</v>
      </c>
      <c r="Q44">
        <f t="shared" si="0"/>
        <v>500</v>
      </c>
      <c r="R44">
        <v>0</v>
      </c>
      <c r="S44">
        <v>-1</v>
      </c>
    </row>
    <row r="45" spans="1:19" hidden="1" x14ac:dyDescent="0.2">
      <c r="A45" t="s">
        <v>286</v>
      </c>
      <c r="B45">
        <v>111</v>
      </c>
      <c r="C45">
        <v>114</v>
      </c>
      <c r="D45">
        <v>29</v>
      </c>
      <c r="E45">
        <v>0.39</v>
      </c>
      <c r="F45">
        <v>11</v>
      </c>
      <c r="G45">
        <v>0.7</v>
      </c>
      <c r="H45">
        <v>5.0000000000000001E-3</v>
      </c>
      <c r="I45">
        <v>4.2000000000000003E-2</v>
      </c>
      <c r="J45">
        <v>8.7999999999999995E-2</v>
      </c>
      <c r="K45">
        <v>500</v>
      </c>
      <c r="L45">
        <v>600</v>
      </c>
      <c r="M45">
        <v>625</v>
      </c>
      <c r="N45">
        <v>0</v>
      </c>
      <c r="O45" s="4">
        <f>_xlfn.XLOOKUP(B45,[1]bus!A:A,[1]bus!K:K,"MISS")</f>
        <v>0</v>
      </c>
      <c r="P45" s="4">
        <f t="shared" si="1"/>
        <v>0</v>
      </c>
      <c r="Q45">
        <f t="shared" si="0"/>
        <v>500</v>
      </c>
      <c r="R45">
        <f>Q44/K44-1</f>
        <v>0</v>
      </c>
      <c r="S45">
        <v>-1</v>
      </c>
    </row>
    <row r="46" spans="1:19" hidden="1" x14ac:dyDescent="0.2">
      <c r="A46" t="s">
        <v>287</v>
      </c>
      <c r="B46">
        <v>112</v>
      </c>
      <c r="C46">
        <v>113</v>
      </c>
      <c r="D46">
        <v>33</v>
      </c>
      <c r="E46">
        <v>0.4</v>
      </c>
      <c r="F46">
        <v>11</v>
      </c>
      <c r="G46">
        <v>0.8</v>
      </c>
      <c r="H46">
        <v>6.0000000000000001E-3</v>
      </c>
      <c r="I46">
        <v>4.8000000000000001E-2</v>
      </c>
      <c r="J46">
        <v>0.1</v>
      </c>
      <c r="K46">
        <v>500</v>
      </c>
      <c r="L46">
        <v>600</v>
      </c>
      <c r="M46">
        <v>625</v>
      </c>
      <c r="N46">
        <v>0</v>
      </c>
      <c r="O46" s="4">
        <f>_xlfn.XLOOKUP(B46,[1]bus!A:A,[1]bus!K:K,"MISS")</f>
        <v>0</v>
      </c>
      <c r="P46" s="4">
        <f t="shared" si="1"/>
        <v>0</v>
      </c>
      <c r="Q46">
        <f t="shared" si="0"/>
        <v>500</v>
      </c>
      <c r="R46">
        <v>0</v>
      </c>
      <c r="S46">
        <v>-1</v>
      </c>
    </row>
    <row r="47" spans="1:19" hidden="1" x14ac:dyDescent="0.2">
      <c r="A47" t="s">
        <v>288</v>
      </c>
      <c r="B47">
        <v>112</v>
      </c>
      <c r="C47">
        <v>123</v>
      </c>
      <c r="D47">
        <v>67</v>
      </c>
      <c r="E47">
        <v>0.52</v>
      </c>
      <c r="F47">
        <v>11</v>
      </c>
      <c r="G47">
        <v>1.6</v>
      </c>
      <c r="H47">
        <v>1.2E-2</v>
      </c>
      <c r="I47">
        <v>9.7000000000000003E-2</v>
      </c>
      <c r="J47">
        <v>0.20300000000000001</v>
      </c>
      <c r="K47">
        <v>500</v>
      </c>
      <c r="L47">
        <v>600</v>
      </c>
      <c r="M47">
        <v>625</v>
      </c>
      <c r="N47">
        <v>0</v>
      </c>
      <c r="O47" s="4">
        <f>_xlfn.XLOOKUP(B47,[1]bus!A:A,[1]bus!K:K,"MISS")</f>
        <v>0</v>
      </c>
      <c r="P47" s="4">
        <f t="shared" si="1"/>
        <v>0</v>
      </c>
      <c r="Q47">
        <f t="shared" si="0"/>
        <v>500</v>
      </c>
      <c r="R47">
        <f>Q46/K46-1</f>
        <v>0</v>
      </c>
      <c r="S47">
        <v>-1</v>
      </c>
    </row>
    <row r="48" spans="1:19" hidden="1" x14ac:dyDescent="0.2">
      <c r="A48" t="s">
        <v>289</v>
      </c>
      <c r="B48">
        <v>113</v>
      </c>
      <c r="C48">
        <v>123</v>
      </c>
      <c r="D48">
        <v>60</v>
      </c>
      <c r="E48">
        <v>0.49</v>
      </c>
      <c r="F48">
        <v>11</v>
      </c>
      <c r="G48">
        <v>1.5</v>
      </c>
      <c r="H48">
        <v>1.0999999999999999E-2</v>
      </c>
      <c r="I48">
        <v>8.6999999999999994E-2</v>
      </c>
      <c r="J48">
        <v>0.182</v>
      </c>
      <c r="K48">
        <v>500</v>
      </c>
      <c r="L48">
        <v>600</v>
      </c>
      <c r="M48">
        <v>625</v>
      </c>
      <c r="N48">
        <v>0</v>
      </c>
      <c r="O48" s="4">
        <f>_xlfn.XLOOKUP(B48,[1]bus!A:A,[1]bus!K:K,"MISS")</f>
        <v>270.44592805217093</v>
      </c>
      <c r="P48" s="4">
        <f t="shared" si="1"/>
        <v>811.33778415651273</v>
      </c>
      <c r="Q48">
        <f t="shared" si="0"/>
        <v>1000</v>
      </c>
      <c r="R48">
        <f>Q47/K47-1</f>
        <v>0</v>
      </c>
      <c r="S48">
        <v>-1</v>
      </c>
    </row>
    <row r="49" spans="1:19" hidden="1" x14ac:dyDescent="0.2">
      <c r="A49" t="s">
        <v>290</v>
      </c>
      <c r="B49">
        <v>113</v>
      </c>
      <c r="C49">
        <v>123</v>
      </c>
      <c r="D49">
        <v>60</v>
      </c>
      <c r="E49">
        <v>0.49</v>
      </c>
      <c r="F49">
        <v>11</v>
      </c>
      <c r="G49">
        <v>1.5</v>
      </c>
      <c r="H49">
        <v>1.0999999999999999E-2</v>
      </c>
      <c r="I49">
        <v>8.6999999999999994E-2</v>
      </c>
      <c r="J49">
        <v>0.182</v>
      </c>
      <c r="K49">
        <v>500</v>
      </c>
      <c r="L49">
        <v>600</v>
      </c>
      <c r="M49">
        <v>625</v>
      </c>
      <c r="N49">
        <v>0</v>
      </c>
      <c r="O49" s="4">
        <f>_xlfn.XLOOKUP(B49,[1]bus!A:A,[1]bus!K:K,"MISS")</f>
        <v>270.44592805217093</v>
      </c>
      <c r="P49" s="4">
        <f t="shared" si="1"/>
        <v>811.33778415651273</v>
      </c>
      <c r="Q49">
        <f t="shared" si="0"/>
        <v>1000</v>
      </c>
      <c r="R49">
        <f>Q48/K48-1</f>
        <v>1</v>
      </c>
      <c r="S49">
        <f>900000*R49*D49</f>
        <v>54000000</v>
      </c>
    </row>
    <row r="50" spans="1:19" hidden="1" x14ac:dyDescent="0.2">
      <c r="A50" t="s">
        <v>291</v>
      </c>
      <c r="B50">
        <v>113</v>
      </c>
      <c r="C50">
        <v>215</v>
      </c>
      <c r="D50">
        <v>52</v>
      </c>
      <c r="E50">
        <v>0.47</v>
      </c>
      <c r="F50">
        <v>11</v>
      </c>
      <c r="G50">
        <v>1.3</v>
      </c>
      <c r="H50">
        <v>0.01</v>
      </c>
      <c r="I50">
        <v>7.4999999999999997E-2</v>
      </c>
      <c r="J50">
        <v>0.158</v>
      </c>
      <c r="K50">
        <v>500</v>
      </c>
      <c r="L50">
        <v>600</v>
      </c>
      <c r="M50">
        <v>625</v>
      </c>
      <c r="N50">
        <v>0</v>
      </c>
      <c r="O50" s="4">
        <f>_xlfn.XLOOKUP(B50,[1]bus!A:A,[1]bus!K:K,"MISS")</f>
        <v>270.44592805217093</v>
      </c>
      <c r="P50" s="4">
        <f t="shared" si="1"/>
        <v>811.33778415651273</v>
      </c>
      <c r="Q50">
        <f t="shared" si="0"/>
        <v>1000</v>
      </c>
      <c r="R50">
        <v>0</v>
      </c>
      <c r="S50">
        <v>-1</v>
      </c>
    </row>
    <row r="51" spans="1:19" hidden="1" x14ac:dyDescent="0.2">
      <c r="A51" t="s">
        <v>292</v>
      </c>
      <c r="B51">
        <v>113</v>
      </c>
      <c r="C51">
        <v>215</v>
      </c>
      <c r="D51">
        <v>52</v>
      </c>
      <c r="E51">
        <v>0.47</v>
      </c>
      <c r="F51">
        <v>11</v>
      </c>
      <c r="G51">
        <v>1.3</v>
      </c>
      <c r="H51">
        <v>0.01</v>
      </c>
      <c r="I51">
        <v>7.4999999999999997E-2</v>
      </c>
      <c r="J51">
        <v>0.158</v>
      </c>
      <c r="K51">
        <v>500</v>
      </c>
      <c r="L51">
        <v>600</v>
      </c>
      <c r="M51">
        <v>625</v>
      </c>
      <c r="N51">
        <v>0</v>
      </c>
      <c r="O51" s="4">
        <f>_xlfn.XLOOKUP(B51,[1]bus!A:A,[1]bus!K:K,"MISS")</f>
        <v>270.44592805217093</v>
      </c>
      <c r="P51" s="4">
        <f t="shared" si="1"/>
        <v>811.33778415651273</v>
      </c>
      <c r="Q51">
        <f t="shared" si="0"/>
        <v>1000</v>
      </c>
      <c r="R51">
        <f>Q50/K50-1</f>
        <v>1</v>
      </c>
      <c r="S51">
        <f>900000*R51*D51</f>
        <v>46800000</v>
      </c>
    </row>
    <row r="52" spans="1:19" hidden="1" x14ac:dyDescent="0.2">
      <c r="A52" t="s">
        <v>293</v>
      </c>
      <c r="B52">
        <v>114</v>
      </c>
      <c r="C52">
        <v>116</v>
      </c>
      <c r="D52">
        <v>27</v>
      </c>
      <c r="E52">
        <v>0.38</v>
      </c>
      <c r="F52">
        <v>11</v>
      </c>
      <c r="G52">
        <v>0.7</v>
      </c>
      <c r="H52">
        <v>5.0000000000000001E-3</v>
      </c>
      <c r="I52">
        <v>5.8999999999999997E-2</v>
      </c>
      <c r="J52">
        <v>8.2000000000000003E-2</v>
      </c>
      <c r="K52">
        <v>500</v>
      </c>
      <c r="L52">
        <v>600</v>
      </c>
      <c r="M52">
        <v>625</v>
      </c>
      <c r="N52">
        <v>0</v>
      </c>
      <c r="O52" s="4">
        <f>_xlfn.XLOOKUP(B52,[1]bus!A:A,[1]bus!K:K,"MISS")</f>
        <v>197.88127753782064</v>
      </c>
      <c r="P52" s="4">
        <f t="shared" si="1"/>
        <v>593.64383261346188</v>
      </c>
      <c r="Q52">
        <f t="shared" si="0"/>
        <v>1000</v>
      </c>
      <c r="R52">
        <v>0</v>
      </c>
      <c r="S52">
        <v>-1</v>
      </c>
    </row>
    <row r="53" spans="1:19" hidden="1" x14ac:dyDescent="0.2">
      <c r="A53" t="s">
        <v>294</v>
      </c>
      <c r="B53">
        <v>114</v>
      </c>
      <c r="C53">
        <v>116</v>
      </c>
      <c r="D53">
        <v>27</v>
      </c>
      <c r="E53">
        <v>0.38</v>
      </c>
      <c r="F53">
        <v>11</v>
      </c>
      <c r="G53">
        <v>0.7</v>
      </c>
      <c r="H53">
        <v>5.0000000000000001E-3</v>
      </c>
      <c r="I53">
        <v>5.8999999999999997E-2</v>
      </c>
      <c r="J53">
        <v>8.2000000000000003E-2</v>
      </c>
      <c r="K53">
        <v>500</v>
      </c>
      <c r="L53">
        <v>600</v>
      </c>
      <c r="M53">
        <v>625</v>
      </c>
      <c r="N53">
        <v>0</v>
      </c>
      <c r="O53" s="4">
        <f>_xlfn.XLOOKUP(B53,[1]bus!A:A,[1]bus!K:K,"MISS")</f>
        <v>197.88127753782064</v>
      </c>
      <c r="P53" s="4">
        <f t="shared" si="1"/>
        <v>593.64383261346188</v>
      </c>
      <c r="Q53">
        <f t="shared" si="0"/>
        <v>1000</v>
      </c>
      <c r="R53">
        <f>Q52/K52-1</f>
        <v>1</v>
      </c>
      <c r="S53">
        <f>900000*R53*D53</f>
        <v>24300000</v>
      </c>
    </row>
    <row r="54" spans="1:19" hidden="1" x14ac:dyDescent="0.2">
      <c r="A54" t="s">
        <v>295</v>
      </c>
      <c r="B54">
        <v>115</v>
      </c>
      <c r="C54">
        <v>116</v>
      </c>
      <c r="D54">
        <v>12</v>
      </c>
      <c r="E54">
        <v>0.33</v>
      </c>
      <c r="F54">
        <v>11</v>
      </c>
      <c r="G54">
        <v>0.3</v>
      </c>
      <c r="H54">
        <v>2E-3</v>
      </c>
      <c r="I54">
        <v>1.7000000000000001E-2</v>
      </c>
      <c r="J54">
        <v>3.5999999999999997E-2</v>
      </c>
      <c r="K54">
        <v>500</v>
      </c>
      <c r="L54">
        <v>600</v>
      </c>
      <c r="M54">
        <v>625</v>
      </c>
      <c r="N54">
        <v>0</v>
      </c>
      <c r="O54" s="4">
        <f>_xlfn.XLOOKUP(B54,[1]bus!A:A,[1]bus!K:K,"MISS")</f>
        <v>323.39604202896487</v>
      </c>
      <c r="P54" s="4">
        <f t="shared" si="1"/>
        <v>970.18812608689461</v>
      </c>
      <c r="Q54">
        <f t="shared" si="0"/>
        <v>1000</v>
      </c>
      <c r="R54">
        <v>0</v>
      </c>
      <c r="S54">
        <v>-1</v>
      </c>
    </row>
    <row r="55" spans="1:19" hidden="1" x14ac:dyDescent="0.2">
      <c r="A55" t="s">
        <v>296</v>
      </c>
      <c r="B55">
        <v>115</v>
      </c>
      <c r="C55">
        <v>116</v>
      </c>
      <c r="D55">
        <v>12</v>
      </c>
      <c r="E55">
        <v>0.33</v>
      </c>
      <c r="F55">
        <v>11</v>
      </c>
      <c r="G55">
        <v>0.3</v>
      </c>
      <c r="H55">
        <v>2E-3</v>
      </c>
      <c r="I55">
        <v>1.7000000000000001E-2</v>
      </c>
      <c r="J55">
        <v>3.5999999999999997E-2</v>
      </c>
      <c r="K55">
        <v>500</v>
      </c>
      <c r="L55">
        <v>600</v>
      </c>
      <c r="M55">
        <v>625</v>
      </c>
      <c r="N55">
        <v>0</v>
      </c>
      <c r="O55" s="4">
        <f>_xlfn.XLOOKUP(B55,[1]bus!A:A,[1]bus!K:K,"MISS")</f>
        <v>323.39604202896487</v>
      </c>
      <c r="P55" s="4">
        <f t="shared" si="1"/>
        <v>970.18812608689461</v>
      </c>
      <c r="Q55">
        <f t="shared" si="0"/>
        <v>1000</v>
      </c>
      <c r="R55">
        <f>Q54/K54-1</f>
        <v>1</v>
      </c>
      <c r="S55">
        <f>900000*R55*D55</f>
        <v>10800000</v>
      </c>
    </row>
    <row r="56" spans="1:19" hidden="1" x14ac:dyDescent="0.2">
      <c r="A56" t="s">
        <v>297</v>
      </c>
      <c r="B56">
        <v>115</v>
      </c>
      <c r="C56">
        <v>121</v>
      </c>
      <c r="D56">
        <v>34</v>
      </c>
      <c r="E56">
        <v>0.41</v>
      </c>
      <c r="F56">
        <v>11</v>
      </c>
      <c r="G56">
        <v>0.8</v>
      </c>
      <c r="H56">
        <v>6.0000000000000001E-3</v>
      </c>
      <c r="I56">
        <v>4.9000000000000002E-2</v>
      </c>
      <c r="J56">
        <v>0.10299999999999999</v>
      </c>
      <c r="K56">
        <v>500</v>
      </c>
      <c r="L56">
        <v>600</v>
      </c>
      <c r="M56">
        <v>625</v>
      </c>
      <c r="N56">
        <v>0</v>
      </c>
      <c r="O56" s="4">
        <f>_xlfn.XLOOKUP(B56,[1]bus!A:A,[1]bus!K:K,"MISS")</f>
        <v>323.39604202896487</v>
      </c>
      <c r="P56" s="4">
        <f t="shared" si="1"/>
        <v>970.18812608689461</v>
      </c>
      <c r="Q56">
        <f t="shared" si="0"/>
        <v>1000</v>
      </c>
      <c r="R56">
        <v>0</v>
      </c>
      <c r="S56">
        <v>-1</v>
      </c>
    </row>
    <row r="57" spans="1:19" hidden="1" x14ac:dyDescent="0.2">
      <c r="A57" t="s">
        <v>298</v>
      </c>
      <c r="B57">
        <v>115</v>
      </c>
      <c r="C57">
        <v>121</v>
      </c>
      <c r="D57">
        <v>34</v>
      </c>
      <c r="E57">
        <v>0.41</v>
      </c>
      <c r="F57">
        <v>11</v>
      </c>
      <c r="G57">
        <v>0.8</v>
      </c>
      <c r="H57">
        <v>6.0000000000000001E-3</v>
      </c>
      <c r="I57">
        <v>4.9000000000000002E-2</v>
      </c>
      <c r="J57">
        <v>0.10299999999999999</v>
      </c>
      <c r="K57">
        <v>500</v>
      </c>
      <c r="L57">
        <v>600</v>
      </c>
      <c r="M57">
        <v>625</v>
      </c>
      <c r="N57">
        <v>0</v>
      </c>
      <c r="O57" s="4">
        <f>_xlfn.XLOOKUP(B57,[1]bus!A:A,[1]bus!K:K,"MISS")</f>
        <v>323.39604202896487</v>
      </c>
      <c r="P57" s="4">
        <f t="shared" si="1"/>
        <v>970.18812608689461</v>
      </c>
      <c r="Q57">
        <f t="shared" si="0"/>
        <v>1000</v>
      </c>
      <c r="R57">
        <f>Q56/K56-1</f>
        <v>1</v>
      </c>
      <c r="S57">
        <f>900000*R57*D57</f>
        <v>30600000</v>
      </c>
    </row>
    <row r="58" spans="1:19" hidden="1" x14ac:dyDescent="0.2">
      <c r="A58" t="s">
        <v>299</v>
      </c>
      <c r="B58">
        <v>115</v>
      </c>
      <c r="C58">
        <v>121</v>
      </c>
      <c r="D58">
        <v>34</v>
      </c>
      <c r="E58">
        <v>0.41</v>
      </c>
      <c r="F58">
        <v>11</v>
      </c>
      <c r="G58">
        <v>0.8</v>
      </c>
      <c r="H58">
        <v>6.0000000000000001E-3</v>
      </c>
      <c r="I58">
        <v>4.9000000000000002E-2</v>
      </c>
      <c r="J58">
        <v>0.10299999999999999</v>
      </c>
      <c r="K58">
        <v>500</v>
      </c>
      <c r="L58">
        <v>600</v>
      </c>
      <c r="M58">
        <v>625</v>
      </c>
      <c r="N58">
        <v>0</v>
      </c>
      <c r="O58" s="4">
        <f>_xlfn.XLOOKUP(B58,[1]bus!A:A,[1]bus!K:K,"MISS")</f>
        <v>323.39604202896487</v>
      </c>
      <c r="P58" s="4">
        <f t="shared" si="1"/>
        <v>970.18812608689461</v>
      </c>
      <c r="Q58">
        <f t="shared" si="0"/>
        <v>1000</v>
      </c>
      <c r="R58">
        <v>0</v>
      </c>
      <c r="S58">
        <v>-1</v>
      </c>
    </row>
    <row r="59" spans="1:19" hidden="1" x14ac:dyDescent="0.2">
      <c r="A59" t="s">
        <v>300</v>
      </c>
      <c r="B59">
        <v>115</v>
      </c>
      <c r="C59">
        <v>121</v>
      </c>
      <c r="D59">
        <v>34</v>
      </c>
      <c r="E59">
        <v>0.41</v>
      </c>
      <c r="F59">
        <v>11</v>
      </c>
      <c r="G59">
        <v>0.8</v>
      </c>
      <c r="H59">
        <v>6.0000000000000001E-3</v>
      </c>
      <c r="I59">
        <v>4.9000000000000002E-2</v>
      </c>
      <c r="J59">
        <v>0.10299999999999999</v>
      </c>
      <c r="K59">
        <v>500</v>
      </c>
      <c r="L59">
        <v>600</v>
      </c>
      <c r="M59">
        <v>625</v>
      </c>
      <c r="N59">
        <v>0</v>
      </c>
      <c r="O59" s="4">
        <f>_xlfn.XLOOKUP(B59,[1]bus!A:A,[1]bus!K:K,"MISS")</f>
        <v>323.39604202896487</v>
      </c>
      <c r="P59" s="4">
        <f t="shared" si="1"/>
        <v>970.18812608689461</v>
      </c>
      <c r="Q59">
        <f t="shared" si="0"/>
        <v>1000</v>
      </c>
      <c r="R59">
        <f>Q58/K58-1</f>
        <v>1</v>
      </c>
      <c r="S59">
        <f>900000*R59*D59</f>
        <v>30600000</v>
      </c>
    </row>
    <row r="60" spans="1:19" hidden="1" x14ac:dyDescent="0.2">
      <c r="A60" t="s">
        <v>301</v>
      </c>
      <c r="B60">
        <v>115</v>
      </c>
      <c r="C60">
        <v>124</v>
      </c>
      <c r="D60">
        <v>36</v>
      </c>
      <c r="E60">
        <v>0.41</v>
      </c>
      <c r="F60">
        <v>11</v>
      </c>
      <c r="G60">
        <v>0.9</v>
      </c>
      <c r="H60">
        <v>7.0000000000000001E-3</v>
      </c>
      <c r="I60">
        <v>5.1999999999999998E-2</v>
      </c>
      <c r="J60">
        <v>0.109</v>
      </c>
      <c r="K60">
        <v>500</v>
      </c>
      <c r="L60">
        <v>600</v>
      </c>
      <c r="M60">
        <v>625</v>
      </c>
      <c r="N60">
        <v>0</v>
      </c>
      <c r="O60" s="4">
        <f>_xlfn.XLOOKUP(B60,[1]bus!A:A,[1]bus!K:K,"MISS")</f>
        <v>323.39604202896487</v>
      </c>
      <c r="P60" s="4">
        <f t="shared" si="1"/>
        <v>970.18812608689461</v>
      </c>
      <c r="Q60">
        <f t="shared" si="0"/>
        <v>1000</v>
      </c>
      <c r="R60">
        <v>0</v>
      </c>
      <c r="S60">
        <v>-1</v>
      </c>
    </row>
    <row r="61" spans="1:19" hidden="1" x14ac:dyDescent="0.2">
      <c r="A61" t="s">
        <v>302</v>
      </c>
      <c r="B61">
        <v>115</v>
      </c>
      <c r="C61">
        <v>124</v>
      </c>
      <c r="D61">
        <v>36</v>
      </c>
      <c r="E61">
        <v>0.41</v>
      </c>
      <c r="F61">
        <v>11</v>
      </c>
      <c r="G61">
        <v>0.9</v>
      </c>
      <c r="H61">
        <v>7.0000000000000001E-3</v>
      </c>
      <c r="I61">
        <v>5.1999999999999998E-2</v>
      </c>
      <c r="J61">
        <v>0.109</v>
      </c>
      <c r="K61">
        <v>500</v>
      </c>
      <c r="L61">
        <v>600</v>
      </c>
      <c r="M61">
        <v>625</v>
      </c>
      <c r="N61">
        <v>0</v>
      </c>
      <c r="O61" s="4">
        <f>_xlfn.XLOOKUP(B61,[1]bus!A:A,[1]bus!K:K,"MISS")</f>
        <v>323.39604202896487</v>
      </c>
      <c r="P61" s="4">
        <f t="shared" si="1"/>
        <v>970.18812608689461</v>
      </c>
      <c r="Q61">
        <f t="shared" si="0"/>
        <v>1000</v>
      </c>
      <c r="R61">
        <f>Q60/K60-1</f>
        <v>1</v>
      </c>
      <c r="S61">
        <f>900000*R61*D61</f>
        <v>32400000</v>
      </c>
    </row>
    <row r="62" spans="1:19" hidden="1" x14ac:dyDescent="0.2">
      <c r="A62" t="s">
        <v>303</v>
      </c>
      <c r="B62">
        <v>116</v>
      </c>
      <c r="C62">
        <v>117</v>
      </c>
      <c r="D62">
        <v>18</v>
      </c>
      <c r="E62">
        <v>0.35</v>
      </c>
      <c r="F62">
        <v>11</v>
      </c>
      <c r="G62">
        <v>0.4</v>
      </c>
      <c r="H62">
        <v>3.0000000000000001E-3</v>
      </c>
      <c r="I62">
        <v>2.5999999999999999E-2</v>
      </c>
      <c r="J62">
        <v>5.5E-2</v>
      </c>
      <c r="K62">
        <v>500</v>
      </c>
      <c r="L62">
        <v>600</v>
      </c>
      <c r="M62">
        <v>625</v>
      </c>
      <c r="N62">
        <v>0</v>
      </c>
      <c r="O62" s="4">
        <f>_xlfn.XLOOKUP(B62,[1]bus!A:A,[1]bus!K:K,"MISS")</f>
        <v>101.9803902718557</v>
      </c>
      <c r="P62" s="4">
        <f t="shared" si="1"/>
        <v>305.94117081556709</v>
      </c>
      <c r="Q62">
        <f t="shared" si="0"/>
        <v>500</v>
      </c>
      <c r="R62">
        <v>0</v>
      </c>
      <c r="S62">
        <v>-1</v>
      </c>
    </row>
    <row r="63" spans="1:19" hidden="1" x14ac:dyDescent="0.2">
      <c r="A63" t="s">
        <v>304</v>
      </c>
      <c r="B63">
        <v>116</v>
      </c>
      <c r="C63">
        <v>119</v>
      </c>
      <c r="D63">
        <v>16</v>
      </c>
      <c r="E63">
        <v>0.34</v>
      </c>
      <c r="F63">
        <v>11</v>
      </c>
      <c r="G63">
        <v>0.4</v>
      </c>
      <c r="H63">
        <v>3.0000000000000001E-3</v>
      </c>
      <c r="I63">
        <v>2.3E-2</v>
      </c>
      <c r="J63">
        <v>4.9000000000000002E-2</v>
      </c>
      <c r="K63">
        <v>500</v>
      </c>
      <c r="L63">
        <v>600</v>
      </c>
      <c r="M63">
        <v>625</v>
      </c>
      <c r="N63">
        <v>0</v>
      </c>
      <c r="O63" s="4">
        <f>_xlfn.XLOOKUP(B63,[1]bus!A:A,[1]bus!K:K,"MISS")</f>
        <v>101.9803902718557</v>
      </c>
      <c r="P63" s="4">
        <f t="shared" si="1"/>
        <v>305.94117081556709</v>
      </c>
      <c r="Q63">
        <f t="shared" si="0"/>
        <v>500</v>
      </c>
      <c r="R63">
        <f>Q62/K62-1</f>
        <v>0</v>
      </c>
      <c r="S63">
        <v>-1</v>
      </c>
    </row>
    <row r="64" spans="1:19" hidden="1" x14ac:dyDescent="0.2">
      <c r="A64" t="s">
        <v>305</v>
      </c>
      <c r="B64">
        <v>117</v>
      </c>
      <c r="C64">
        <v>118</v>
      </c>
      <c r="D64">
        <v>10</v>
      </c>
      <c r="E64">
        <v>0.32</v>
      </c>
      <c r="F64">
        <v>11</v>
      </c>
      <c r="G64">
        <v>0.2</v>
      </c>
      <c r="H64">
        <v>2E-3</v>
      </c>
      <c r="I64">
        <v>1.4E-2</v>
      </c>
      <c r="J64">
        <v>0.03</v>
      </c>
      <c r="K64">
        <v>500</v>
      </c>
      <c r="L64">
        <v>600</v>
      </c>
      <c r="M64">
        <v>625</v>
      </c>
      <c r="N64">
        <v>0</v>
      </c>
      <c r="O64" s="4">
        <f>_xlfn.XLOOKUP(B64,[1]bus!A:A,[1]bus!K:K,"MISS")</f>
        <v>0</v>
      </c>
      <c r="P64" s="4">
        <f t="shared" si="1"/>
        <v>0</v>
      </c>
      <c r="Q64">
        <f t="shared" si="0"/>
        <v>500</v>
      </c>
      <c r="R64">
        <f>Q63/K63-1</f>
        <v>0</v>
      </c>
      <c r="S64">
        <v>-1</v>
      </c>
    </row>
    <row r="65" spans="1:19" hidden="1" x14ac:dyDescent="0.2">
      <c r="A65" t="s">
        <v>306</v>
      </c>
      <c r="B65">
        <v>117</v>
      </c>
      <c r="C65">
        <v>122</v>
      </c>
      <c r="D65">
        <v>73</v>
      </c>
      <c r="E65">
        <v>0.54</v>
      </c>
      <c r="F65">
        <v>11</v>
      </c>
      <c r="G65">
        <v>1.8</v>
      </c>
      <c r="H65">
        <v>1.4E-2</v>
      </c>
      <c r="I65">
        <v>0.105</v>
      </c>
      <c r="J65">
        <v>0.221</v>
      </c>
      <c r="K65">
        <v>500</v>
      </c>
      <c r="L65">
        <v>600</v>
      </c>
      <c r="M65">
        <v>625</v>
      </c>
      <c r="N65">
        <v>0</v>
      </c>
      <c r="O65" s="4">
        <f>_xlfn.XLOOKUP(B65,[1]bus!A:A,[1]bus!K:K,"MISS")</f>
        <v>0</v>
      </c>
      <c r="P65" s="4">
        <f t="shared" si="1"/>
        <v>0</v>
      </c>
      <c r="Q65">
        <f t="shared" si="0"/>
        <v>500</v>
      </c>
      <c r="R65">
        <f>Q64/K64-1</f>
        <v>0</v>
      </c>
      <c r="S65">
        <v>-1</v>
      </c>
    </row>
    <row r="66" spans="1:19" hidden="1" x14ac:dyDescent="0.2">
      <c r="A66" t="s">
        <v>307</v>
      </c>
      <c r="B66">
        <v>118</v>
      </c>
      <c r="C66">
        <v>121</v>
      </c>
      <c r="D66">
        <v>18</v>
      </c>
      <c r="E66">
        <v>0.35</v>
      </c>
      <c r="F66">
        <v>11</v>
      </c>
      <c r="G66">
        <v>0.4</v>
      </c>
      <c r="H66">
        <v>3.0000000000000001E-3</v>
      </c>
      <c r="I66">
        <v>2.5999999999999999E-2</v>
      </c>
      <c r="J66">
        <v>5.5E-2</v>
      </c>
      <c r="K66">
        <v>500</v>
      </c>
      <c r="L66">
        <v>600</v>
      </c>
      <c r="M66">
        <v>625</v>
      </c>
      <c r="N66">
        <v>0</v>
      </c>
      <c r="O66" s="4">
        <f>_xlfn.XLOOKUP(B66,[1]bus!A:A,[1]bus!K:K,"MISS")</f>
        <v>339.87203474248952</v>
      </c>
      <c r="P66" s="4">
        <f t="shared" si="1"/>
        <v>1019.6161042274686</v>
      </c>
      <c r="Q66">
        <f t="shared" ref="Q66:Q129" si="2">IF(P66&lt;K66,K66,IF(P66&lt;K66*2,K66*2,K66*3))</f>
        <v>1500</v>
      </c>
      <c r="R66">
        <f>Q65/K65-1</f>
        <v>0</v>
      </c>
      <c r="S66">
        <v>-1</v>
      </c>
    </row>
    <row r="67" spans="1:19" hidden="1" x14ac:dyDescent="0.2">
      <c r="A67" t="s">
        <v>308</v>
      </c>
      <c r="B67">
        <v>118</v>
      </c>
      <c r="C67">
        <v>121</v>
      </c>
      <c r="D67">
        <v>18</v>
      </c>
      <c r="E67">
        <v>0.35</v>
      </c>
      <c r="F67">
        <v>11</v>
      </c>
      <c r="G67">
        <v>0.4</v>
      </c>
      <c r="H67">
        <v>3.0000000000000001E-3</v>
      </c>
      <c r="I67">
        <v>2.5999999999999999E-2</v>
      </c>
      <c r="J67">
        <v>5.5E-2</v>
      </c>
      <c r="K67">
        <v>500</v>
      </c>
      <c r="L67">
        <v>600</v>
      </c>
      <c r="M67">
        <v>625</v>
      </c>
      <c r="N67">
        <v>0</v>
      </c>
      <c r="O67" s="4">
        <f>_xlfn.XLOOKUP(B67,[1]bus!A:A,[1]bus!K:K,"MISS")</f>
        <v>339.87203474248952</v>
      </c>
      <c r="P67" s="4">
        <f t="shared" si="1"/>
        <v>1019.6161042274686</v>
      </c>
      <c r="Q67">
        <f t="shared" si="2"/>
        <v>1500</v>
      </c>
      <c r="R67">
        <v>1</v>
      </c>
      <c r="S67">
        <f>900000*R67*D67</f>
        <v>16200000</v>
      </c>
    </row>
    <row r="68" spans="1:19" hidden="1" x14ac:dyDescent="0.2">
      <c r="A68" t="s">
        <v>309</v>
      </c>
      <c r="B68">
        <v>118</v>
      </c>
      <c r="C68">
        <v>121</v>
      </c>
      <c r="D68">
        <v>18</v>
      </c>
      <c r="E68">
        <v>0.35</v>
      </c>
      <c r="F68">
        <v>11</v>
      </c>
      <c r="G68">
        <v>0.4</v>
      </c>
      <c r="H68">
        <v>3.0000000000000001E-3</v>
      </c>
      <c r="I68">
        <v>2.5999999999999999E-2</v>
      </c>
      <c r="J68">
        <v>5.5E-2</v>
      </c>
      <c r="K68">
        <v>500</v>
      </c>
      <c r="L68">
        <v>600</v>
      </c>
      <c r="M68">
        <v>625</v>
      </c>
      <c r="N68">
        <v>0</v>
      </c>
      <c r="O68" s="4">
        <f>_xlfn.XLOOKUP(B68,[1]bus!A:A,[1]bus!K:K,"MISS")</f>
        <v>339.87203474248952</v>
      </c>
      <c r="P68" s="4">
        <f t="shared" ref="P68:P191" si="3">O68*3</f>
        <v>1019.6161042274686</v>
      </c>
      <c r="Q68">
        <f t="shared" si="2"/>
        <v>1500</v>
      </c>
      <c r="R68">
        <v>1</v>
      </c>
      <c r="S68">
        <f>900000*R68*D68</f>
        <v>16200000</v>
      </c>
    </row>
    <row r="69" spans="1:19" hidden="1" x14ac:dyDescent="0.2">
      <c r="A69" t="s">
        <v>310</v>
      </c>
      <c r="B69">
        <v>118</v>
      </c>
      <c r="C69">
        <v>121</v>
      </c>
      <c r="D69">
        <v>18</v>
      </c>
      <c r="E69">
        <v>0.35</v>
      </c>
      <c r="F69">
        <v>11</v>
      </c>
      <c r="G69">
        <v>0.4</v>
      </c>
      <c r="H69">
        <v>3.0000000000000001E-3</v>
      </c>
      <c r="I69">
        <v>2.5999999999999999E-2</v>
      </c>
      <c r="J69">
        <v>5.5E-2</v>
      </c>
      <c r="K69">
        <v>500</v>
      </c>
      <c r="L69">
        <v>600</v>
      </c>
      <c r="M69">
        <v>625</v>
      </c>
      <c r="N69">
        <v>0</v>
      </c>
      <c r="O69" s="4">
        <f>_xlfn.XLOOKUP(B69,[1]bus!A:A,[1]bus!K:K,"MISS")</f>
        <v>339.87203474248952</v>
      </c>
      <c r="P69" s="4">
        <f t="shared" si="3"/>
        <v>1019.6161042274686</v>
      </c>
      <c r="Q69">
        <f t="shared" si="2"/>
        <v>1500</v>
      </c>
      <c r="R69">
        <v>0</v>
      </c>
      <c r="S69">
        <v>-1</v>
      </c>
    </row>
    <row r="70" spans="1:19" hidden="1" x14ac:dyDescent="0.2">
      <c r="A70" t="s">
        <v>311</v>
      </c>
      <c r="B70">
        <v>118</v>
      </c>
      <c r="C70">
        <v>121</v>
      </c>
      <c r="D70">
        <v>18</v>
      </c>
      <c r="E70">
        <v>0.35</v>
      </c>
      <c r="F70">
        <v>11</v>
      </c>
      <c r="G70">
        <v>0.4</v>
      </c>
      <c r="H70">
        <v>3.0000000000000001E-3</v>
      </c>
      <c r="I70">
        <v>2.5999999999999999E-2</v>
      </c>
      <c r="J70">
        <v>5.5E-2</v>
      </c>
      <c r="K70">
        <v>500</v>
      </c>
      <c r="L70">
        <v>600</v>
      </c>
      <c r="M70">
        <v>625</v>
      </c>
      <c r="N70">
        <v>0</v>
      </c>
      <c r="O70" s="4">
        <f>_xlfn.XLOOKUP(B70,[1]bus!A:A,[1]bus!K:K,"MISS")</f>
        <v>339.87203474248952</v>
      </c>
      <c r="P70" s="4">
        <f t="shared" si="3"/>
        <v>1019.6161042274686</v>
      </c>
      <c r="Q70">
        <f t="shared" si="2"/>
        <v>1500</v>
      </c>
      <c r="R70">
        <v>1</v>
      </c>
      <c r="S70">
        <f>900000*R70*D70</f>
        <v>16200000</v>
      </c>
    </row>
    <row r="71" spans="1:19" hidden="1" x14ac:dyDescent="0.2">
      <c r="A71" t="s">
        <v>312</v>
      </c>
      <c r="B71">
        <v>118</v>
      </c>
      <c r="C71">
        <v>121</v>
      </c>
      <c r="D71">
        <v>18</v>
      </c>
      <c r="E71">
        <v>0.35</v>
      </c>
      <c r="F71">
        <v>11</v>
      </c>
      <c r="G71">
        <v>0.4</v>
      </c>
      <c r="H71">
        <v>3.0000000000000001E-3</v>
      </c>
      <c r="I71">
        <v>2.5999999999999999E-2</v>
      </c>
      <c r="J71">
        <v>5.5E-2</v>
      </c>
      <c r="K71">
        <v>500</v>
      </c>
      <c r="L71">
        <v>600</v>
      </c>
      <c r="M71">
        <v>625</v>
      </c>
      <c r="N71">
        <v>0</v>
      </c>
      <c r="O71" s="4">
        <f>_xlfn.XLOOKUP(B71,[1]bus!A:A,[1]bus!K:K,"MISS")</f>
        <v>339.87203474248952</v>
      </c>
      <c r="P71" s="4">
        <f t="shared" si="3"/>
        <v>1019.6161042274686</v>
      </c>
      <c r="Q71">
        <f t="shared" si="2"/>
        <v>1500</v>
      </c>
      <c r="R71">
        <v>1</v>
      </c>
      <c r="S71">
        <f>900000*R71*D71</f>
        <v>16200000</v>
      </c>
    </row>
    <row r="72" spans="1:19" hidden="1" x14ac:dyDescent="0.2">
      <c r="A72" t="s">
        <v>313</v>
      </c>
      <c r="B72">
        <v>119</v>
      </c>
      <c r="C72">
        <v>120</v>
      </c>
      <c r="D72">
        <v>27.5</v>
      </c>
      <c r="E72">
        <v>0.38</v>
      </c>
      <c r="F72">
        <v>11</v>
      </c>
      <c r="G72">
        <v>0.7</v>
      </c>
      <c r="H72">
        <v>5.0000000000000001E-3</v>
      </c>
      <c r="I72">
        <v>0.04</v>
      </c>
      <c r="J72">
        <v>8.3000000000000004E-2</v>
      </c>
      <c r="K72">
        <v>500</v>
      </c>
      <c r="L72">
        <v>600</v>
      </c>
      <c r="M72">
        <v>625</v>
      </c>
      <c r="N72">
        <v>0</v>
      </c>
      <c r="O72" s="4">
        <f>_xlfn.XLOOKUP(B72,[1]bus!A:A,[1]bus!K:K,"MISS")</f>
        <v>184.74306482247175</v>
      </c>
      <c r="P72" s="4">
        <f t="shared" si="3"/>
        <v>554.22919446741525</v>
      </c>
      <c r="Q72">
        <f t="shared" si="2"/>
        <v>1000</v>
      </c>
      <c r="R72">
        <v>0</v>
      </c>
      <c r="S72">
        <v>-1</v>
      </c>
    </row>
    <row r="73" spans="1:19" hidden="1" x14ac:dyDescent="0.2">
      <c r="A73" t="s">
        <v>314</v>
      </c>
      <c r="B73">
        <v>119</v>
      </c>
      <c r="C73">
        <v>120</v>
      </c>
      <c r="D73">
        <v>27.5</v>
      </c>
      <c r="E73">
        <v>0.38</v>
      </c>
      <c r="F73">
        <v>11</v>
      </c>
      <c r="G73">
        <v>0.7</v>
      </c>
      <c r="H73">
        <v>5.0000000000000001E-3</v>
      </c>
      <c r="I73">
        <v>0.04</v>
      </c>
      <c r="J73">
        <v>8.3000000000000004E-2</v>
      </c>
      <c r="K73">
        <v>500</v>
      </c>
      <c r="L73">
        <v>600</v>
      </c>
      <c r="M73">
        <v>625</v>
      </c>
      <c r="N73">
        <v>0</v>
      </c>
      <c r="O73" s="4">
        <f>_xlfn.XLOOKUP(B73,[1]bus!A:A,[1]bus!K:K,"MISS")</f>
        <v>184.74306482247175</v>
      </c>
      <c r="P73" s="4">
        <f t="shared" si="3"/>
        <v>554.22919446741525</v>
      </c>
      <c r="Q73">
        <f t="shared" si="2"/>
        <v>1000</v>
      </c>
      <c r="R73">
        <f>Q72/K72-1</f>
        <v>1</v>
      </c>
      <c r="S73">
        <f>900000*R73*D73</f>
        <v>24750000</v>
      </c>
    </row>
    <row r="74" spans="1:19" hidden="1" x14ac:dyDescent="0.2">
      <c r="A74" t="s">
        <v>315</v>
      </c>
      <c r="B74">
        <v>119</v>
      </c>
      <c r="C74">
        <v>120</v>
      </c>
      <c r="D74">
        <v>27.5</v>
      </c>
      <c r="E74">
        <v>0.38</v>
      </c>
      <c r="F74">
        <v>11</v>
      </c>
      <c r="G74">
        <v>0.7</v>
      </c>
      <c r="H74">
        <v>5.0000000000000001E-3</v>
      </c>
      <c r="I74">
        <v>0.04</v>
      </c>
      <c r="J74">
        <v>8.3000000000000004E-2</v>
      </c>
      <c r="K74">
        <v>500</v>
      </c>
      <c r="L74">
        <v>600</v>
      </c>
      <c r="M74">
        <v>625</v>
      </c>
      <c r="N74">
        <v>0</v>
      </c>
      <c r="O74" s="4">
        <f>_xlfn.XLOOKUP(B74,[1]bus!A:A,[1]bus!K:K,"MISS")</f>
        <v>184.74306482247175</v>
      </c>
      <c r="P74" s="4">
        <f t="shared" si="3"/>
        <v>554.22919446741525</v>
      </c>
      <c r="Q74">
        <f t="shared" si="2"/>
        <v>1000</v>
      </c>
      <c r="R74">
        <v>0</v>
      </c>
      <c r="S74">
        <v>-1</v>
      </c>
    </row>
    <row r="75" spans="1:19" hidden="1" x14ac:dyDescent="0.2">
      <c r="A75" t="s">
        <v>316</v>
      </c>
      <c r="B75">
        <v>119</v>
      </c>
      <c r="C75">
        <v>120</v>
      </c>
      <c r="D75">
        <v>27.5</v>
      </c>
      <c r="E75">
        <v>0.38</v>
      </c>
      <c r="F75">
        <v>11</v>
      </c>
      <c r="G75">
        <v>0.7</v>
      </c>
      <c r="H75">
        <v>5.0000000000000001E-3</v>
      </c>
      <c r="I75">
        <v>0.04</v>
      </c>
      <c r="J75">
        <v>8.3000000000000004E-2</v>
      </c>
      <c r="K75">
        <v>500</v>
      </c>
      <c r="L75">
        <v>600</v>
      </c>
      <c r="M75">
        <v>625</v>
      </c>
      <c r="N75">
        <v>0</v>
      </c>
      <c r="O75" s="4">
        <f>_xlfn.XLOOKUP(B75,[1]bus!A:A,[1]bus!K:K,"MISS")</f>
        <v>184.74306482247175</v>
      </c>
      <c r="P75" s="4">
        <f t="shared" si="3"/>
        <v>554.22919446741525</v>
      </c>
      <c r="Q75">
        <f t="shared" si="2"/>
        <v>1000</v>
      </c>
      <c r="R75">
        <f>Q74/K74-1</f>
        <v>1</v>
      </c>
      <c r="S75">
        <f>900000*R75*D75</f>
        <v>24750000</v>
      </c>
    </row>
    <row r="76" spans="1:19" hidden="1" x14ac:dyDescent="0.2">
      <c r="A76" t="s">
        <v>317</v>
      </c>
      <c r="B76">
        <v>120</v>
      </c>
      <c r="C76">
        <v>123</v>
      </c>
      <c r="D76">
        <v>15</v>
      </c>
      <c r="E76">
        <v>0.34</v>
      </c>
      <c r="F76">
        <v>11</v>
      </c>
      <c r="G76">
        <v>0.4</v>
      </c>
      <c r="H76">
        <v>3.0000000000000001E-3</v>
      </c>
      <c r="I76">
        <v>2.1999999999999999E-2</v>
      </c>
      <c r="J76">
        <v>4.5999999999999999E-2</v>
      </c>
      <c r="K76">
        <v>500</v>
      </c>
      <c r="L76">
        <v>600</v>
      </c>
      <c r="M76">
        <v>625</v>
      </c>
      <c r="N76">
        <v>0</v>
      </c>
      <c r="O76" s="4">
        <f>_xlfn.XLOOKUP(B76,[1]bus!A:A,[1]bus!K:K,"MISS")</f>
        <v>130.61393493804556</v>
      </c>
      <c r="P76" s="4">
        <f t="shared" si="3"/>
        <v>391.84180481413671</v>
      </c>
      <c r="Q76">
        <f t="shared" si="2"/>
        <v>500</v>
      </c>
      <c r="R76">
        <v>0</v>
      </c>
      <c r="S76">
        <v>-1</v>
      </c>
    </row>
    <row r="77" spans="1:19" hidden="1" x14ac:dyDescent="0.2">
      <c r="A77" t="s">
        <v>318</v>
      </c>
      <c r="B77">
        <v>120</v>
      </c>
      <c r="C77">
        <v>123</v>
      </c>
      <c r="D77">
        <v>15</v>
      </c>
      <c r="E77">
        <v>0.34</v>
      </c>
      <c r="F77">
        <v>11</v>
      </c>
      <c r="G77">
        <v>0.4</v>
      </c>
      <c r="H77">
        <v>3.0000000000000001E-3</v>
      </c>
      <c r="I77">
        <v>2.1999999999999999E-2</v>
      </c>
      <c r="J77">
        <v>4.5999999999999999E-2</v>
      </c>
      <c r="K77">
        <v>500</v>
      </c>
      <c r="L77">
        <v>600</v>
      </c>
      <c r="M77">
        <v>625</v>
      </c>
      <c r="N77">
        <v>0</v>
      </c>
      <c r="O77" s="4">
        <f>_xlfn.XLOOKUP(B77,[1]bus!A:A,[1]bus!K:K,"MISS")</f>
        <v>130.61393493804556</v>
      </c>
      <c r="P77" s="4">
        <f t="shared" si="3"/>
        <v>391.84180481413671</v>
      </c>
      <c r="Q77">
        <f t="shared" si="2"/>
        <v>500</v>
      </c>
      <c r="R77">
        <f>Q76/K76-1</f>
        <v>0</v>
      </c>
      <c r="S77">
        <v>-1</v>
      </c>
    </row>
    <row r="78" spans="1:19" hidden="1" x14ac:dyDescent="0.2">
      <c r="A78" t="s">
        <v>319</v>
      </c>
      <c r="B78">
        <v>121</v>
      </c>
      <c r="C78">
        <v>122</v>
      </c>
      <c r="D78">
        <v>47</v>
      </c>
      <c r="E78">
        <v>0.45</v>
      </c>
      <c r="F78">
        <v>11</v>
      </c>
      <c r="G78">
        <v>1.2</v>
      </c>
      <c r="H78">
        <v>8.9999999999999993E-3</v>
      </c>
      <c r="I78">
        <v>6.8000000000000005E-2</v>
      </c>
      <c r="J78">
        <v>0.14199999999999999</v>
      </c>
      <c r="K78">
        <v>500</v>
      </c>
      <c r="L78">
        <v>600</v>
      </c>
      <c r="M78">
        <v>625</v>
      </c>
      <c r="N78">
        <v>0</v>
      </c>
      <c r="O78" s="4">
        <f>_xlfn.XLOOKUP(B78,[1]bus!A:A,[1]bus!K:K,"MISS")</f>
        <v>0</v>
      </c>
      <c r="P78" s="4">
        <f t="shared" si="3"/>
        <v>0</v>
      </c>
      <c r="Q78">
        <f t="shared" si="2"/>
        <v>500</v>
      </c>
      <c r="R78">
        <f>Q77/K77-1</f>
        <v>0</v>
      </c>
      <c r="S78">
        <v>-1</v>
      </c>
    </row>
    <row r="79" spans="1:19" hidden="1" x14ac:dyDescent="0.2">
      <c r="A79" t="s">
        <v>320</v>
      </c>
      <c r="B79">
        <v>123</v>
      </c>
      <c r="C79">
        <v>217</v>
      </c>
      <c r="D79">
        <v>51</v>
      </c>
      <c r="E79">
        <v>0.46</v>
      </c>
      <c r="F79">
        <v>11</v>
      </c>
      <c r="G79">
        <v>1.3</v>
      </c>
      <c r="H79">
        <v>0.01</v>
      </c>
      <c r="I79">
        <v>7.3999999999999996E-2</v>
      </c>
      <c r="J79">
        <v>0.155</v>
      </c>
      <c r="K79">
        <v>500</v>
      </c>
      <c r="L79">
        <v>600</v>
      </c>
      <c r="M79">
        <v>625</v>
      </c>
      <c r="N79">
        <v>0</v>
      </c>
      <c r="O79" s="4">
        <f>_xlfn.XLOOKUP(B79,[1]bus!A:A,[1]bus!K:K,"MISS")</f>
        <v>0</v>
      </c>
      <c r="P79" s="4">
        <f t="shared" si="3"/>
        <v>0</v>
      </c>
      <c r="Q79">
        <f t="shared" si="2"/>
        <v>500</v>
      </c>
      <c r="R79">
        <f>Q78/K78-1</f>
        <v>0</v>
      </c>
      <c r="S79">
        <v>-1</v>
      </c>
    </row>
    <row r="80" spans="1:19" hidden="1" x14ac:dyDescent="0.2">
      <c r="A80" t="s">
        <v>321</v>
      </c>
      <c r="B80">
        <v>201</v>
      </c>
      <c r="C80">
        <v>202</v>
      </c>
      <c r="D80">
        <v>3</v>
      </c>
      <c r="E80">
        <v>0.24</v>
      </c>
      <c r="F80">
        <v>16</v>
      </c>
      <c r="G80">
        <v>0</v>
      </c>
      <c r="H80">
        <v>3.0000000000000001E-3</v>
      </c>
      <c r="I80">
        <v>1.4E-2</v>
      </c>
      <c r="J80">
        <v>0.46100000000000002</v>
      </c>
      <c r="K80">
        <v>175</v>
      </c>
      <c r="L80">
        <v>193</v>
      </c>
      <c r="M80">
        <v>200</v>
      </c>
      <c r="N80">
        <v>0</v>
      </c>
      <c r="O80" s="4">
        <f>_xlfn.XLOOKUP(B80,[1]bus!A:A,[1]bus!K:K,"MISS")</f>
        <v>110.21796586763884</v>
      </c>
      <c r="P80" s="4">
        <f t="shared" si="3"/>
        <v>330.65389760291652</v>
      </c>
      <c r="Q80">
        <f t="shared" si="2"/>
        <v>350</v>
      </c>
      <c r="R80">
        <f>Q79/K79-1</f>
        <v>0</v>
      </c>
      <c r="S80">
        <v>-1</v>
      </c>
    </row>
    <row r="81" spans="1:19" x14ac:dyDescent="0.2">
      <c r="A81" t="s">
        <v>322</v>
      </c>
      <c r="B81">
        <v>201</v>
      </c>
      <c r="C81">
        <v>202</v>
      </c>
      <c r="D81">
        <v>3</v>
      </c>
      <c r="E81">
        <v>0.24</v>
      </c>
      <c r="F81">
        <v>16</v>
      </c>
      <c r="G81">
        <v>0</v>
      </c>
      <c r="H81">
        <v>3.0000000000000001E-3</v>
      </c>
      <c r="I81">
        <v>1.4E-2</v>
      </c>
      <c r="J81">
        <v>0.46100000000000002</v>
      </c>
      <c r="K81">
        <v>175</v>
      </c>
      <c r="L81">
        <v>193</v>
      </c>
      <c r="M81">
        <v>200</v>
      </c>
      <c r="N81">
        <v>0</v>
      </c>
      <c r="O81" s="4">
        <f>_xlfn.XLOOKUP(B81,[1]bus!A:A,[1]bus!K:K,"MISS")</f>
        <v>110.21796586763884</v>
      </c>
      <c r="P81" s="4">
        <f t="shared" si="3"/>
        <v>330.65389760291652</v>
      </c>
      <c r="Q81">
        <f t="shared" si="2"/>
        <v>350</v>
      </c>
      <c r="R81">
        <f>Q80/K80-1</f>
        <v>1</v>
      </c>
      <c r="S81">
        <f>400000*R81*D81</f>
        <v>1200000</v>
      </c>
    </row>
    <row r="82" spans="1:19" hidden="1" x14ac:dyDescent="0.2">
      <c r="A82" t="s">
        <v>323</v>
      </c>
      <c r="B82">
        <v>201</v>
      </c>
      <c r="C82">
        <v>203</v>
      </c>
      <c r="D82">
        <v>55</v>
      </c>
      <c r="E82">
        <v>0.51</v>
      </c>
      <c r="F82">
        <v>10</v>
      </c>
      <c r="G82">
        <v>2.9</v>
      </c>
      <c r="H82">
        <v>5.5E-2</v>
      </c>
      <c r="I82">
        <v>0.21099999999999999</v>
      </c>
      <c r="J82">
        <v>5.7000000000000002E-2</v>
      </c>
      <c r="K82">
        <v>175</v>
      </c>
      <c r="L82">
        <v>208</v>
      </c>
      <c r="M82">
        <v>220</v>
      </c>
      <c r="N82">
        <v>0</v>
      </c>
      <c r="O82" s="4">
        <f>_xlfn.XLOOKUP(B82,[1]bus!A:A,[1]bus!K:K,"MISS")</f>
        <v>110.21796586763884</v>
      </c>
      <c r="P82" s="4">
        <f t="shared" si="3"/>
        <v>330.65389760291652</v>
      </c>
      <c r="Q82">
        <f t="shared" si="2"/>
        <v>350</v>
      </c>
      <c r="R82">
        <v>0</v>
      </c>
      <c r="S82">
        <v>-1</v>
      </c>
    </row>
    <row r="83" spans="1:19" x14ac:dyDescent="0.2">
      <c r="A83" t="s">
        <v>324</v>
      </c>
      <c r="B83">
        <v>201</v>
      </c>
      <c r="C83">
        <v>203</v>
      </c>
      <c r="D83">
        <v>55</v>
      </c>
      <c r="E83">
        <v>0.51</v>
      </c>
      <c r="F83">
        <v>10</v>
      </c>
      <c r="G83">
        <v>2.9</v>
      </c>
      <c r="H83">
        <v>5.5E-2</v>
      </c>
      <c r="I83">
        <v>0.21099999999999999</v>
      </c>
      <c r="J83">
        <v>5.7000000000000002E-2</v>
      </c>
      <c r="K83">
        <v>175</v>
      </c>
      <c r="L83">
        <v>208</v>
      </c>
      <c r="M83">
        <v>220</v>
      </c>
      <c r="N83">
        <v>0</v>
      </c>
      <c r="O83" s="4">
        <f>_xlfn.XLOOKUP(B83,[1]bus!A:A,[1]bus!K:K,"MISS")</f>
        <v>110.21796586763884</v>
      </c>
      <c r="P83" s="4">
        <f t="shared" si="3"/>
        <v>330.65389760291652</v>
      </c>
      <c r="Q83">
        <f t="shared" si="2"/>
        <v>350</v>
      </c>
      <c r="R83">
        <f>Q82/K82-1</f>
        <v>1</v>
      </c>
      <c r="S83">
        <f>400000*R83*D83</f>
        <v>22000000</v>
      </c>
    </row>
    <row r="84" spans="1:19" hidden="1" x14ac:dyDescent="0.2">
      <c r="A84" t="s">
        <v>325</v>
      </c>
      <c r="B84">
        <v>201</v>
      </c>
      <c r="C84">
        <v>205</v>
      </c>
      <c r="D84">
        <v>22</v>
      </c>
      <c r="E84">
        <v>0.33</v>
      </c>
      <c r="F84">
        <v>10</v>
      </c>
      <c r="G84">
        <v>1.2</v>
      </c>
      <c r="H84">
        <v>2.1999999999999999E-2</v>
      </c>
      <c r="I84">
        <v>8.5000000000000006E-2</v>
      </c>
      <c r="J84">
        <v>2.3E-2</v>
      </c>
      <c r="K84">
        <v>175</v>
      </c>
      <c r="L84">
        <v>208</v>
      </c>
      <c r="M84">
        <v>220</v>
      </c>
      <c r="N84">
        <v>0</v>
      </c>
      <c r="O84" s="4">
        <f>_xlfn.XLOOKUP(B84,[1]bus!A:A,[1]bus!K:K,"MISS")</f>
        <v>110.21796586763884</v>
      </c>
      <c r="P84" s="4">
        <f t="shared" si="3"/>
        <v>330.65389760291652</v>
      </c>
      <c r="Q84">
        <f t="shared" si="2"/>
        <v>350</v>
      </c>
      <c r="R84">
        <v>0</v>
      </c>
      <c r="S84">
        <v>-1</v>
      </c>
    </row>
    <row r="85" spans="1:19" x14ac:dyDescent="0.2">
      <c r="A85" t="s">
        <v>325</v>
      </c>
      <c r="B85">
        <v>201</v>
      </c>
      <c r="C85">
        <v>205</v>
      </c>
      <c r="D85">
        <v>22</v>
      </c>
      <c r="E85">
        <v>0.33</v>
      </c>
      <c r="F85">
        <v>10</v>
      </c>
      <c r="G85">
        <v>1.2</v>
      </c>
      <c r="H85">
        <v>2.1999999999999999E-2</v>
      </c>
      <c r="I85">
        <v>8.5000000000000006E-2</v>
      </c>
      <c r="J85">
        <v>2.3E-2</v>
      </c>
      <c r="K85">
        <v>175</v>
      </c>
      <c r="L85">
        <v>208</v>
      </c>
      <c r="M85">
        <v>220</v>
      </c>
      <c r="N85">
        <v>0</v>
      </c>
      <c r="O85" s="4">
        <f>_xlfn.XLOOKUP(B85,[1]bus!A:A,[1]bus!K:K,"MISS")</f>
        <v>110.21796586763884</v>
      </c>
      <c r="P85" s="4">
        <f t="shared" si="3"/>
        <v>330.65389760291652</v>
      </c>
      <c r="Q85">
        <f t="shared" si="2"/>
        <v>350</v>
      </c>
      <c r="R85">
        <f>Q84/K84-1</f>
        <v>1</v>
      </c>
      <c r="S85">
        <f>400000*R85*D85</f>
        <v>8800000</v>
      </c>
    </row>
    <row r="86" spans="1:19" x14ac:dyDescent="0.2">
      <c r="A86" t="s">
        <v>326</v>
      </c>
      <c r="B86">
        <v>202</v>
      </c>
      <c r="C86">
        <v>204</v>
      </c>
      <c r="D86">
        <v>33</v>
      </c>
      <c r="E86">
        <v>0.39</v>
      </c>
      <c r="F86">
        <v>10</v>
      </c>
      <c r="G86">
        <v>1.7</v>
      </c>
      <c r="H86">
        <v>3.3000000000000002E-2</v>
      </c>
      <c r="I86">
        <v>0.127</v>
      </c>
      <c r="J86">
        <v>3.4000000000000002E-2</v>
      </c>
      <c r="K86">
        <v>175</v>
      </c>
      <c r="L86">
        <v>208</v>
      </c>
      <c r="M86">
        <v>220</v>
      </c>
      <c r="N86">
        <v>0</v>
      </c>
      <c r="O86" s="4">
        <f>_xlfn.XLOOKUP(B86,[1]bus!A:A,[1]bus!K:K,"MISS")</f>
        <v>99.040395798886024</v>
      </c>
      <c r="P86" s="4">
        <f t="shared" si="3"/>
        <v>297.12118739665806</v>
      </c>
      <c r="Q86">
        <f t="shared" si="2"/>
        <v>350</v>
      </c>
      <c r="R86">
        <f>Q85/K85-1</f>
        <v>1</v>
      </c>
      <c r="S86">
        <f>400000*R86*D86</f>
        <v>13200000</v>
      </c>
    </row>
    <row r="87" spans="1:19" x14ac:dyDescent="0.2">
      <c r="A87" t="s">
        <v>327</v>
      </c>
      <c r="B87">
        <v>202</v>
      </c>
      <c r="C87">
        <v>204</v>
      </c>
      <c r="D87">
        <v>33</v>
      </c>
      <c r="E87">
        <v>0.39</v>
      </c>
      <c r="F87">
        <v>10</v>
      </c>
      <c r="G87">
        <v>1.7</v>
      </c>
      <c r="H87">
        <v>3.3000000000000002E-2</v>
      </c>
      <c r="I87">
        <v>0.127</v>
      </c>
      <c r="J87">
        <v>3.4000000000000002E-2</v>
      </c>
      <c r="K87">
        <v>175</v>
      </c>
      <c r="L87">
        <v>208</v>
      </c>
      <c r="M87">
        <v>220</v>
      </c>
      <c r="N87">
        <v>0</v>
      </c>
      <c r="O87" s="4">
        <f>_xlfn.XLOOKUP(B87,[1]bus!A:A,[1]bus!K:K,"MISS")</f>
        <v>99.040395798886024</v>
      </c>
      <c r="P87" s="4">
        <f t="shared" si="3"/>
        <v>297.12118739665806</v>
      </c>
      <c r="Q87">
        <f t="shared" si="2"/>
        <v>350</v>
      </c>
      <c r="R87">
        <f>Q86/K86-1</f>
        <v>1</v>
      </c>
      <c r="S87">
        <f>400000*R87*D87</f>
        <v>13200000</v>
      </c>
    </row>
    <row r="88" spans="1:19" hidden="1" x14ac:dyDescent="0.2">
      <c r="A88" t="s">
        <v>328</v>
      </c>
      <c r="B88">
        <v>202</v>
      </c>
      <c r="C88">
        <v>206</v>
      </c>
      <c r="D88">
        <v>50</v>
      </c>
      <c r="E88">
        <v>0.48</v>
      </c>
      <c r="F88">
        <v>10</v>
      </c>
      <c r="G88">
        <v>2.6</v>
      </c>
      <c r="H88">
        <v>0.05</v>
      </c>
      <c r="I88">
        <v>0.192</v>
      </c>
      <c r="J88">
        <v>5.1999999999999998E-2</v>
      </c>
      <c r="K88">
        <v>175</v>
      </c>
      <c r="L88">
        <v>208</v>
      </c>
      <c r="M88">
        <v>220</v>
      </c>
      <c r="N88">
        <v>0</v>
      </c>
      <c r="O88" s="4">
        <f>_xlfn.XLOOKUP(B88,[1]bus!A:A,[1]bus!K:K,"MISS")</f>
        <v>99.040395798886024</v>
      </c>
      <c r="P88" s="4">
        <f t="shared" si="3"/>
        <v>297.12118739665806</v>
      </c>
      <c r="Q88">
        <f t="shared" si="2"/>
        <v>350</v>
      </c>
      <c r="R88">
        <v>0</v>
      </c>
      <c r="S88">
        <v>-1</v>
      </c>
    </row>
    <row r="89" spans="1:19" x14ac:dyDescent="0.2">
      <c r="A89" t="s">
        <v>329</v>
      </c>
      <c r="B89">
        <v>202</v>
      </c>
      <c r="C89">
        <v>206</v>
      </c>
      <c r="D89">
        <v>50</v>
      </c>
      <c r="E89">
        <v>0.48</v>
      </c>
      <c r="F89">
        <v>10</v>
      </c>
      <c r="G89">
        <v>2.6</v>
      </c>
      <c r="H89">
        <v>0.05</v>
      </c>
      <c r="I89">
        <v>0.192</v>
      </c>
      <c r="J89">
        <v>5.1999999999999998E-2</v>
      </c>
      <c r="K89">
        <v>175</v>
      </c>
      <c r="L89">
        <v>208</v>
      </c>
      <c r="M89">
        <v>220</v>
      </c>
      <c r="N89">
        <v>0</v>
      </c>
      <c r="O89" s="4">
        <f>_xlfn.XLOOKUP(B89,[1]bus!A:A,[1]bus!K:K,"MISS")</f>
        <v>99.040395798886024</v>
      </c>
      <c r="P89" s="4">
        <f t="shared" si="3"/>
        <v>297.12118739665806</v>
      </c>
      <c r="Q89">
        <f t="shared" si="2"/>
        <v>350</v>
      </c>
      <c r="R89">
        <f>Q88/K88-1</f>
        <v>1</v>
      </c>
      <c r="S89">
        <f>400000*R89*D89</f>
        <v>20000000</v>
      </c>
    </row>
    <row r="90" spans="1:19" hidden="1" x14ac:dyDescent="0.2">
      <c r="A90" t="s">
        <v>330</v>
      </c>
      <c r="B90">
        <v>203</v>
      </c>
      <c r="C90">
        <v>209</v>
      </c>
      <c r="D90">
        <v>31</v>
      </c>
      <c r="E90">
        <v>0.38</v>
      </c>
      <c r="F90">
        <v>10</v>
      </c>
      <c r="G90">
        <v>1.6</v>
      </c>
      <c r="H90">
        <v>3.1E-2</v>
      </c>
      <c r="I90">
        <v>0.11899999999999999</v>
      </c>
      <c r="J90">
        <v>3.2000000000000001E-2</v>
      </c>
      <c r="K90">
        <v>175</v>
      </c>
      <c r="L90">
        <v>208</v>
      </c>
      <c r="M90">
        <v>220</v>
      </c>
      <c r="N90">
        <v>0</v>
      </c>
      <c r="O90" s="4">
        <f>_xlfn.XLOOKUP(B90,[1]bus!A:A,[1]bus!K:K,"MISS")</f>
        <v>183.76343488300387</v>
      </c>
      <c r="P90" s="4">
        <f t="shared" si="3"/>
        <v>551.29030464901166</v>
      </c>
      <c r="Q90">
        <f t="shared" si="2"/>
        <v>525</v>
      </c>
      <c r="R90">
        <v>0</v>
      </c>
      <c r="S90">
        <v>-1</v>
      </c>
    </row>
    <row r="91" spans="1:19" x14ac:dyDescent="0.2">
      <c r="A91" t="s">
        <v>331</v>
      </c>
      <c r="B91">
        <v>203</v>
      </c>
      <c r="C91">
        <v>209</v>
      </c>
      <c r="D91">
        <v>31</v>
      </c>
      <c r="E91">
        <v>0.38</v>
      </c>
      <c r="F91">
        <v>10</v>
      </c>
      <c r="G91">
        <v>1.6</v>
      </c>
      <c r="H91">
        <v>3.1E-2</v>
      </c>
      <c r="I91">
        <v>0.11899999999999999</v>
      </c>
      <c r="J91">
        <v>3.2000000000000001E-2</v>
      </c>
      <c r="K91">
        <v>175</v>
      </c>
      <c r="L91">
        <v>208</v>
      </c>
      <c r="M91">
        <v>220</v>
      </c>
      <c r="N91">
        <v>0</v>
      </c>
      <c r="O91" s="4">
        <f>_xlfn.XLOOKUP(B91,[1]bus!A:A,[1]bus!K:K,"MISS")</f>
        <v>183.76343488300387</v>
      </c>
      <c r="P91" s="4">
        <f t="shared" si="3"/>
        <v>551.29030464901166</v>
      </c>
      <c r="Q91">
        <f t="shared" si="2"/>
        <v>525</v>
      </c>
      <c r="R91">
        <v>1</v>
      </c>
      <c r="S91">
        <f>400000*R91*D91</f>
        <v>12400000</v>
      </c>
    </row>
    <row r="92" spans="1:19" x14ac:dyDescent="0.2">
      <c r="A92" t="s">
        <v>332</v>
      </c>
      <c r="B92">
        <v>203</v>
      </c>
      <c r="C92">
        <v>209</v>
      </c>
      <c r="D92">
        <v>31</v>
      </c>
      <c r="E92">
        <v>0.38</v>
      </c>
      <c r="F92">
        <v>10</v>
      </c>
      <c r="G92">
        <v>1.6</v>
      </c>
      <c r="H92">
        <v>3.1E-2</v>
      </c>
      <c r="I92">
        <v>0.11899999999999999</v>
      </c>
      <c r="J92">
        <v>3.2000000000000001E-2</v>
      </c>
      <c r="K92">
        <v>175</v>
      </c>
      <c r="L92">
        <v>208</v>
      </c>
      <c r="M92">
        <v>220</v>
      </c>
      <c r="N92">
        <v>0</v>
      </c>
      <c r="O92" s="4">
        <f>_xlfn.XLOOKUP(B92,[1]bus!A:A,[1]bus!K:K,"MISS")</f>
        <v>183.76343488300387</v>
      </c>
      <c r="P92" s="4">
        <f t="shared" si="3"/>
        <v>551.29030464901166</v>
      </c>
      <c r="Q92">
        <f t="shared" si="2"/>
        <v>525</v>
      </c>
      <c r="R92">
        <v>1</v>
      </c>
      <c r="S92">
        <f>400000*R92*D92</f>
        <v>12400000</v>
      </c>
    </row>
    <row r="93" spans="1:19" hidden="1" x14ac:dyDescent="0.2">
      <c r="A93" t="s">
        <v>333</v>
      </c>
      <c r="B93">
        <v>203</v>
      </c>
      <c r="C93">
        <v>224</v>
      </c>
      <c r="D93">
        <v>0</v>
      </c>
      <c r="E93">
        <v>0.02</v>
      </c>
      <c r="F93">
        <v>768</v>
      </c>
      <c r="G93">
        <v>0</v>
      </c>
      <c r="H93">
        <v>2E-3</v>
      </c>
      <c r="I93">
        <v>8.4000000000000005E-2</v>
      </c>
      <c r="J93">
        <v>0</v>
      </c>
      <c r="K93">
        <v>400</v>
      </c>
      <c r="L93">
        <v>510</v>
      </c>
      <c r="M93">
        <v>600</v>
      </c>
      <c r="N93">
        <v>1.0149999999999999</v>
      </c>
      <c r="O93" s="4">
        <f>_xlfn.XLOOKUP(B93,[1]bus!A:A,[1]bus!K:K,"MISS")</f>
        <v>183.76343488300387</v>
      </c>
      <c r="P93" s="4">
        <f t="shared" si="3"/>
        <v>551.29030464901166</v>
      </c>
      <c r="Q93">
        <f t="shared" si="2"/>
        <v>800</v>
      </c>
      <c r="R93">
        <v>0</v>
      </c>
      <c r="S93">
        <v>-1</v>
      </c>
    </row>
    <row r="94" spans="1:19" x14ac:dyDescent="0.2">
      <c r="A94" t="s">
        <v>334</v>
      </c>
      <c r="B94">
        <v>203</v>
      </c>
      <c r="C94">
        <v>224</v>
      </c>
      <c r="D94">
        <v>0</v>
      </c>
      <c r="E94">
        <v>0.02</v>
      </c>
      <c r="F94">
        <v>768</v>
      </c>
      <c r="G94">
        <v>0</v>
      </c>
      <c r="H94">
        <v>2E-3</v>
      </c>
      <c r="I94">
        <v>8.4000000000000005E-2</v>
      </c>
      <c r="J94">
        <v>0</v>
      </c>
      <c r="K94">
        <v>400</v>
      </c>
      <c r="L94">
        <v>510</v>
      </c>
      <c r="M94">
        <v>600</v>
      </c>
      <c r="N94">
        <v>1.0149999999999999</v>
      </c>
      <c r="O94" s="4">
        <f>_xlfn.XLOOKUP(B94,[1]bus!A:A,[1]bus!K:K,"MISS")</f>
        <v>183.76343488300387</v>
      </c>
      <c r="P94" s="4">
        <f t="shared" si="3"/>
        <v>551.29030464901166</v>
      </c>
      <c r="Q94">
        <f t="shared" si="2"/>
        <v>800</v>
      </c>
      <c r="R94">
        <f>Q93/K93-1</f>
        <v>1</v>
      </c>
      <c r="S94">
        <f>900000*R94*D94</f>
        <v>0</v>
      </c>
    </row>
    <row r="95" spans="1:19" hidden="1" x14ac:dyDescent="0.2">
      <c r="A95" t="s">
        <v>335</v>
      </c>
      <c r="B95">
        <v>204</v>
      </c>
      <c r="C95">
        <v>209</v>
      </c>
      <c r="D95">
        <v>27</v>
      </c>
      <c r="E95">
        <v>0.36</v>
      </c>
      <c r="F95">
        <v>10</v>
      </c>
      <c r="G95">
        <v>1.4</v>
      </c>
      <c r="H95">
        <v>2.7E-2</v>
      </c>
      <c r="I95">
        <v>0.104</v>
      </c>
      <c r="J95">
        <v>2.8000000000000001E-2</v>
      </c>
      <c r="K95">
        <v>175</v>
      </c>
      <c r="L95">
        <v>208</v>
      </c>
      <c r="M95">
        <v>220</v>
      </c>
      <c r="N95">
        <v>0</v>
      </c>
      <c r="O95" s="4">
        <f>_xlfn.XLOOKUP(B95,[1]bus!A:A,[1]bus!K:K,"MISS")</f>
        <v>75.504966724050675</v>
      </c>
      <c r="P95" s="4">
        <f t="shared" si="3"/>
        <v>226.51490017215201</v>
      </c>
      <c r="Q95">
        <f t="shared" si="2"/>
        <v>350</v>
      </c>
      <c r="R95">
        <v>0</v>
      </c>
      <c r="S95">
        <v>-1</v>
      </c>
    </row>
    <row r="96" spans="1:19" x14ac:dyDescent="0.2">
      <c r="A96" t="s">
        <v>336</v>
      </c>
      <c r="B96">
        <v>204</v>
      </c>
      <c r="C96">
        <v>209</v>
      </c>
      <c r="D96">
        <v>27</v>
      </c>
      <c r="E96">
        <v>0.36</v>
      </c>
      <c r="F96">
        <v>10</v>
      </c>
      <c r="G96">
        <v>1.4</v>
      </c>
      <c r="H96">
        <v>2.7E-2</v>
      </c>
      <c r="I96">
        <v>0.104</v>
      </c>
      <c r="J96">
        <v>2.8000000000000001E-2</v>
      </c>
      <c r="K96">
        <v>175</v>
      </c>
      <c r="L96">
        <v>208</v>
      </c>
      <c r="M96">
        <v>220</v>
      </c>
      <c r="N96">
        <v>0</v>
      </c>
      <c r="O96" s="4">
        <f>_xlfn.XLOOKUP(B96,[1]bus!A:A,[1]bus!K:K,"MISS")</f>
        <v>75.504966724050675</v>
      </c>
      <c r="P96" s="4">
        <f t="shared" si="3"/>
        <v>226.51490017215201</v>
      </c>
      <c r="Q96">
        <f t="shared" si="2"/>
        <v>350</v>
      </c>
      <c r="R96">
        <f>Q95/K95-1</f>
        <v>1</v>
      </c>
      <c r="S96">
        <f>400000*R96*D96</f>
        <v>10800000</v>
      </c>
    </row>
    <row r="97" spans="1:19" hidden="1" x14ac:dyDescent="0.2">
      <c r="A97" t="s">
        <v>337</v>
      </c>
      <c r="B97">
        <v>205</v>
      </c>
      <c r="C97">
        <v>210</v>
      </c>
      <c r="D97">
        <v>23</v>
      </c>
      <c r="E97">
        <v>0.34</v>
      </c>
      <c r="F97">
        <v>10</v>
      </c>
      <c r="G97">
        <v>1.2</v>
      </c>
      <c r="H97">
        <v>2.3E-2</v>
      </c>
      <c r="I97">
        <v>8.7999999999999995E-2</v>
      </c>
      <c r="J97">
        <v>2.4E-2</v>
      </c>
      <c r="K97">
        <v>175</v>
      </c>
      <c r="L97">
        <v>208</v>
      </c>
      <c r="M97">
        <v>220</v>
      </c>
      <c r="N97">
        <v>0</v>
      </c>
      <c r="O97" s="4">
        <f>_xlfn.XLOOKUP(B97,[1]bus!A:A,[1]bus!K:K,"MISS")</f>
        <v>72.367119605522504</v>
      </c>
      <c r="P97" s="4">
        <f t="shared" si="3"/>
        <v>217.10135881656751</v>
      </c>
      <c r="Q97">
        <f t="shared" si="2"/>
        <v>350</v>
      </c>
      <c r="R97">
        <v>0</v>
      </c>
      <c r="S97">
        <v>-1</v>
      </c>
    </row>
    <row r="98" spans="1:19" x14ac:dyDescent="0.2">
      <c r="A98" t="s">
        <v>338</v>
      </c>
      <c r="B98">
        <v>205</v>
      </c>
      <c r="C98">
        <v>210</v>
      </c>
      <c r="D98">
        <v>23</v>
      </c>
      <c r="E98">
        <v>0.34</v>
      </c>
      <c r="F98">
        <v>10</v>
      </c>
      <c r="G98">
        <v>1.2</v>
      </c>
      <c r="H98">
        <v>2.3E-2</v>
      </c>
      <c r="I98">
        <v>8.7999999999999995E-2</v>
      </c>
      <c r="J98">
        <v>2.4E-2</v>
      </c>
      <c r="K98">
        <v>175</v>
      </c>
      <c r="L98">
        <v>208</v>
      </c>
      <c r="M98">
        <v>220</v>
      </c>
      <c r="N98">
        <v>0</v>
      </c>
      <c r="O98" s="4">
        <f>_xlfn.XLOOKUP(B98,[1]bus!A:A,[1]bus!K:K,"MISS")</f>
        <v>72.367119605522504</v>
      </c>
      <c r="P98" s="4">
        <f t="shared" si="3"/>
        <v>217.10135881656751</v>
      </c>
      <c r="Q98">
        <f t="shared" si="2"/>
        <v>350</v>
      </c>
      <c r="R98">
        <f>Q97/K97-1</f>
        <v>1</v>
      </c>
      <c r="S98">
        <f>400000*R98*D98</f>
        <v>9200000</v>
      </c>
    </row>
    <row r="99" spans="1:19" hidden="1" x14ac:dyDescent="0.2">
      <c r="A99" t="s">
        <v>339</v>
      </c>
      <c r="B99">
        <v>206</v>
      </c>
      <c r="C99">
        <v>210</v>
      </c>
      <c r="D99">
        <v>16</v>
      </c>
      <c r="E99">
        <v>0.33</v>
      </c>
      <c r="F99">
        <v>35</v>
      </c>
      <c r="G99">
        <v>0</v>
      </c>
      <c r="H99">
        <v>1.4E-2</v>
      </c>
      <c r="I99">
        <v>6.0999999999999999E-2</v>
      </c>
      <c r="J99">
        <v>2.4590000000000001</v>
      </c>
      <c r="K99">
        <v>175</v>
      </c>
      <c r="L99">
        <v>193</v>
      </c>
      <c r="M99">
        <v>200</v>
      </c>
      <c r="N99">
        <v>0</v>
      </c>
      <c r="O99" s="4">
        <f>_xlfn.XLOOKUP(B99,[1]bus!A:A,[1]bus!K:K,"MISS")</f>
        <v>138.85243966167826</v>
      </c>
      <c r="P99" s="4">
        <f t="shared" si="3"/>
        <v>416.55731898503478</v>
      </c>
      <c r="Q99">
        <f t="shared" si="2"/>
        <v>525</v>
      </c>
      <c r="R99">
        <v>0</v>
      </c>
      <c r="S99">
        <v>-1</v>
      </c>
    </row>
    <row r="100" spans="1:19" x14ac:dyDescent="0.2">
      <c r="A100" t="s">
        <v>340</v>
      </c>
      <c r="B100">
        <v>206</v>
      </c>
      <c r="C100">
        <v>210</v>
      </c>
      <c r="D100">
        <v>16</v>
      </c>
      <c r="E100">
        <v>0.33</v>
      </c>
      <c r="F100">
        <v>35</v>
      </c>
      <c r="G100">
        <v>0</v>
      </c>
      <c r="H100">
        <v>1.4E-2</v>
      </c>
      <c r="I100">
        <v>6.0999999999999999E-2</v>
      </c>
      <c r="J100">
        <v>2.4590000000000001</v>
      </c>
      <c r="K100">
        <v>175</v>
      </c>
      <c r="L100">
        <v>193</v>
      </c>
      <c r="M100">
        <v>200</v>
      </c>
      <c r="N100">
        <v>0</v>
      </c>
      <c r="O100" s="4">
        <f>_xlfn.XLOOKUP(B100,[1]bus!A:A,[1]bus!K:K,"MISS")</f>
        <v>138.85243966167826</v>
      </c>
      <c r="P100" s="4">
        <f t="shared" si="3"/>
        <v>416.55731898503478</v>
      </c>
      <c r="Q100">
        <f t="shared" si="2"/>
        <v>525</v>
      </c>
      <c r="R100">
        <v>1</v>
      </c>
      <c r="S100">
        <f>400000*R100*D100</f>
        <v>6400000</v>
      </c>
    </row>
    <row r="101" spans="1:19" x14ac:dyDescent="0.2">
      <c r="A101" t="s">
        <v>341</v>
      </c>
      <c r="B101">
        <v>206</v>
      </c>
      <c r="C101">
        <v>210</v>
      </c>
      <c r="D101">
        <v>16</v>
      </c>
      <c r="E101">
        <v>0.33</v>
      </c>
      <c r="F101">
        <v>35</v>
      </c>
      <c r="G101">
        <v>0</v>
      </c>
      <c r="H101">
        <v>1.4E-2</v>
      </c>
      <c r="I101">
        <v>6.0999999999999999E-2</v>
      </c>
      <c r="J101">
        <v>2.4590000000000001</v>
      </c>
      <c r="K101">
        <v>175</v>
      </c>
      <c r="L101">
        <v>193</v>
      </c>
      <c r="M101">
        <v>200</v>
      </c>
      <c r="N101">
        <v>0</v>
      </c>
      <c r="O101" s="4">
        <f>_xlfn.XLOOKUP(B101,[1]bus!A:A,[1]bus!K:K,"MISS")</f>
        <v>138.85243966167826</v>
      </c>
      <c r="P101" s="4">
        <f t="shared" si="3"/>
        <v>416.55731898503478</v>
      </c>
      <c r="Q101">
        <f t="shared" si="2"/>
        <v>525</v>
      </c>
      <c r="R101">
        <v>1</v>
      </c>
      <c r="S101">
        <f>400000*R101*D101</f>
        <v>6400000</v>
      </c>
    </row>
    <row r="102" spans="1:19" hidden="1" x14ac:dyDescent="0.2">
      <c r="A102" t="s">
        <v>342</v>
      </c>
      <c r="B102">
        <v>207</v>
      </c>
      <c r="C102">
        <v>208</v>
      </c>
      <c r="D102">
        <v>16</v>
      </c>
      <c r="E102">
        <v>0.3</v>
      </c>
      <c r="F102">
        <v>10</v>
      </c>
      <c r="G102">
        <v>0.8</v>
      </c>
      <c r="H102">
        <v>1.6E-2</v>
      </c>
      <c r="I102">
        <v>6.0999999999999999E-2</v>
      </c>
      <c r="J102">
        <v>1.7000000000000001E-2</v>
      </c>
      <c r="K102">
        <v>175</v>
      </c>
      <c r="L102">
        <v>208</v>
      </c>
      <c r="M102">
        <v>220</v>
      </c>
      <c r="N102">
        <v>0</v>
      </c>
      <c r="O102" s="4">
        <f>_xlfn.XLOOKUP(B102,[1]bus!A:A,[1]bus!K:K,"MISS")</f>
        <v>127.47548783981962</v>
      </c>
      <c r="P102" s="4">
        <f t="shared" si="3"/>
        <v>382.42646351945888</v>
      </c>
      <c r="Q102">
        <f t="shared" si="2"/>
        <v>525</v>
      </c>
      <c r="R102">
        <v>0</v>
      </c>
      <c r="S102">
        <v>-1</v>
      </c>
    </row>
    <row r="103" spans="1:19" x14ac:dyDescent="0.2">
      <c r="A103" t="s">
        <v>343</v>
      </c>
      <c r="B103">
        <v>207</v>
      </c>
      <c r="C103">
        <v>208</v>
      </c>
      <c r="D103">
        <v>16</v>
      </c>
      <c r="E103">
        <v>0.3</v>
      </c>
      <c r="F103">
        <v>10</v>
      </c>
      <c r="G103">
        <v>0.8</v>
      </c>
      <c r="H103">
        <v>1.6E-2</v>
      </c>
      <c r="I103">
        <v>6.0999999999999999E-2</v>
      </c>
      <c r="J103">
        <v>1.7000000000000001E-2</v>
      </c>
      <c r="K103">
        <v>175</v>
      </c>
      <c r="L103">
        <v>208</v>
      </c>
      <c r="M103">
        <v>220</v>
      </c>
      <c r="N103">
        <v>0</v>
      </c>
      <c r="O103" s="4">
        <f>_xlfn.XLOOKUP(B103,[1]bus!A:A,[1]bus!K:K,"MISS")</f>
        <v>127.47548783981962</v>
      </c>
      <c r="P103" s="4">
        <f t="shared" si="3"/>
        <v>382.42646351945888</v>
      </c>
      <c r="Q103">
        <f t="shared" si="2"/>
        <v>525</v>
      </c>
      <c r="R103">
        <v>1</v>
      </c>
      <c r="S103">
        <f>400000*R103*D103</f>
        <v>6400000</v>
      </c>
    </row>
    <row r="104" spans="1:19" x14ac:dyDescent="0.2">
      <c r="A104" t="s">
        <v>344</v>
      </c>
      <c r="B104">
        <v>207</v>
      </c>
      <c r="C104">
        <v>208</v>
      </c>
      <c r="D104">
        <v>16</v>
      </c>
      <c r="E104">
        <v>0.3</v>
      </c>
      <c r="F104">
        <v>10</v>
      </c>
      <c r="G104">
        <v>0.8</v>
      </c>
      <c r="H104">
        <v>1.6E-2</v>
      </c>
      <c r="I104">
        <v>6.0999999999999999E-2</v>
      </c>
      <c r="J104">
        <v>1.7000000000000001E-2</v>
      </c>
      <c r="K104">
        <v>175</v>
      </c>
      <c r="L104">
        <v>208</v>
      </c>
      <c r="M104">
        <v>220</v>
      </c>
      <c r="N104">
        <v>0</v>
      </c>
      <c r="O104" s="4">
        <f>_xlfn.XLOOKUP(B104,[1]bus!A:A,[1]bus!K:K,"MISS")</f>
        <v>127.47548783981962</v>
      </c>
      <c r="P104" s="4">
        <f t="shared" si="3"/>
        <v>382.42646351945888</v>
      </c>
      <c r="Q104">
        <f t="shared" si="2"/>
        <v>525</v>
      </c>
      <c r="R104">
        <v>1</v>
      </c>
      <c r="S104">
        <f>400000*R104*D104</f>
        <v>6400000</v>
      </c>
    </row>
    <row r="105" spans="1:19" hidden="1" x14ac:dyDescent="0.2">
      <c r="A105" t="s">
        <v>345</v>
      </c>
      <c r="B105">
        <v>208</v>
      </c>
      <c r="C105">
        <v>209</v>
      </c>
      <c r="D105">
        <v>43</v>
      </c>
      <c r="E105">
        <v>0.44</v>
      </c>
      <c r="F105">
        <v>10</v>
      </c>
      <c r="G105">
        <v>2.2999999999999998</v>
      </c>
      <c r="H105">
        <v>4.2999999999999997E-2</v>
      </c>
      <c r="I105">
        <v>0.16500000000000001</v>
      </c>
      <c r="J105">
        <v>4.4999999999999998E-2</v>
      </c>
      <c r="K105">
        <v>175</v>
      </c>
      <c r="L105">
        <v>208</v>
      </c>
      <c r="M105">
        <v>220</v>
      </c>
      <c r="N105">
        <v>0</v>
      </c>
      <c r="O105" s="4">
        <f>_xlfn.XLOOKUP(B105,[1]bus!A:A,[1]bus!K:K,"MISS")</f>
        <v>174.54512310574592</v>
      </c>
      <c r="P105" s="4">
        <f t="shared" si="3"/>
        <v>523.63536931723775</v>
      </c>
      <c r="Q105">
        <f t="shared" si="2"/>
        <v>525</v>
      </c>
      <c r="R105">
        <v>0</v>
      </c>
      <c r="S105">
        <v>-1</v>
      </c>
    </row>
    <row r="106" spans="1:19" x14ac:dyDescent="0.2">
      <c r="A106" t="s">
        <v>346</v>
      </c>
      <c r="B106">
        <v>208</v>
      </c>
      <c r="C106">
        <v>209</v>
      </c>
      <c r="D106">
        <v>43</v>
      </c>
      <c r="E106">
        <v>0.44</v>
      </c>
      <c r="F106">
        <v>10</v>
      </c>
      <c r="G106">
        <v>2.2999999999999998</v>
      </c>
      <c r="H106">
        <v>4.2999999999999997E-2</v>
      </c>
      <c r="I106">
        <v>0.16500000000000001</v>
      </c>
      <c r="J106">
        <v>4.4999999999999998E-2</v>
      </c>
      <c r="K106">
        <v>175</v>
      </c>
      <c r="L106">
        <v>208</v>
      </c>
      <c r="M106">
        <v>220</v>
      </c>
      <c r="N106">
        <v>0</v>
      </c>
      <c r="O106" s="4">
        <f>_xlfn.XLOOKUP(B106,[1]bus!A:A,[1]bus!K:K,"MISS")</f>
        <v>174.54512310574592</v>
      </c>
      <c r="P106" s="4">
        <f t="shared" si="3"/>
        <v>523.63536931723775</v>
      </c>
      <c r="Q106">
        <f t="shared" si="2"/>
        <v>525</v>
      </c>
      <c r="R106">
        <v>1</v>
      </c>
      <c r="S106">
        <f>400000*R106*D106</f>
        <v>17200000</v>
      </c>
    </row>
    <row r="107" spans="1:19" x14ac:dyDescent="0.2">
      <c r="A107" t="s">
        <v>347</v>
      </c>
      <c r="B107">
        <v>208</v>
      </c>
      <c r="C107">
        <v>209</v>
      </c>
      <c r="D107">
        <v>43</v>
      </c>
      <c r="E107">
        <v>0.44</v>
      </c>
      <c r="F107">
        <v>10</v>
      </c>
      <c r="G107">
        <v>2.2999999999999998</v>
      </c>
      <c r="H107">
        <v>4.2999999999999997E-2</v>
      </c>
      <c r="I107">
        <v>0.16500000000000001</v>
      </c>
      <c r="J107">
        <v>4.4999999999999998E-2</v>
      </c>
      <c r="K107">
        <v>175</v>
      </c>
      <c r="L107">
        <v>208</v>
      </c>
      <c r="M107">
        <v>220</v>
      </c>
      <c r="N107">
        <v>0</v>
      </c>
      <c r="O107" s="4">
        <f>_xlfn.XLOOKUP(B107,[1]bus!A:A,[1]bus!K:K,"MISS")</f>
        <v>174.54512310574592</v>
      </c>
      <c r="P107" s="4">
        <f t="shared" si="3"/>
        <v>523.63536931723775</v>
      </c>
      <c r="Q107">
        <f t="shared" si="2"/>
        <v>525</v>
      </c>
      <c r="R107">
        <v>1</v>
      </c>
      <c r="S107">
        <f>400000*R107*D107</f>
        <v>17200000</v>
      </c>
    </row>
    <row r="108" spans="1:19" hidden="1" x14ac:dyDescent="0.2">
      <c r="A108" t="s">
        <v>348</v>
      </c>
      <c r="B108">
        <v>208</v>
      </c>
      <c r="C108">
        <v>210</v>
      </c>
      <c r="D108">
        <v>43</v>
      </c>
      <c r="E108">
        <v>0.44</v>
      </c>
      <c r="F108">
        <v>10</v>
      </c>
      <c r="G108">
        <v>2.2999999999999998</v>
      </c>
      <c r="H108">
        <v>4.2999999999999997E-2</v>
      </c>
      <c r="I108">
        <v>0.16500000000000001</v>
      </c>
      <c r="J108">
        <v>4.4999999999999998E-2</v>
      </c>
      <c r="K108">
        <v>175</v>
      </c>
      <c r="L108">
        <v>208</v>
      </c>
      <c r="M108">
        <v>220</v>
      </c>
      <c r="N108">
        <v>0</v>
      </c>
      <c r="O108" s="4">
        <f>_xlfn.XLOOKUP(B108,[1]bus!A:A,[1]bus!K:K,"MISS")</f>
        <v>174.54512310574592</v>
      </c>
      <c r="P108" s="4">
        <f t="shared" si="3"/>
        <v>523.63536931723775</v>
      </c>
      <c r="Q108">
        <f t="shared" si="2"/>
        <v>525</v>
      </c>
      <c r="R108">
        <v>0</v>
      </c>
      <c r="S108">
        <v>-1</v>
      </c>
    </row>
    <row r="109" spans="1:19" x14ac:dyDescent="0.2">
      <c r="A109" t="s">
        <v>349</v>
      </c>
      <c r="B109">
        <v>208</v>
      </c>
      <c r="C109">
        <v>210</v>
      </c>
      <c r="D109">
        <v>43</v>
      </c>
      <c r="E109">
        <v>0.44</v>
      </c>
      <c r="F109">
        <v>10</v>
      </c>
      <c r="G109">
        <v>2.2999999999999998</v>
      </c>
      <c r="H109">
        <v>4.2999999999999997E-2</v>
      </c>
      <c r="I109">
        <v>0.16500000000000001</v>
      </c>
      <c r="J109">
        <v>4.4999999999999998E-2</v>
      </c>
      <c r="K109">
        <v>175</v>
      </c>
      <c r="L109">
        <v>208</v>
      </c>
      <c r="M109">
        <v>220</v>
      </c>
      <c r="N109">
        <v>0</v>
      </c>
      <c r="O109" s="4">
        <f>_xlfn.XLOOKUP(B109,[1]bus!A:A,[1]bus!K:K,"MISS")</f>
        <v>174.54512310574592</v>
      </c>
      <c r="P109" s="4">
        <f t="shared" si="3"/>
        <v>523.63536931723775</v>
      </c>
      <c r="Q109">
        <f t="shared" si="2"/>
        <v>525</v>
      </c>
      <c r="R109">
        <v>1</v>
      </c>
      <c r="S109">
        <f>400000*R109*D109</f>
        <v>17200000</v>
      </c>
    </row>
    <row r="110" spans="1:19" x14ac:dyDescent="0.2">
      <c r="A110" t="s">
        <v>350</v>
      </c>
      <c r="B110">
        <v>208</v>
      </c>
      <c r="C110">
        <v>210</v>
      </c>
      <c r="D110">
        <v>43</v>
      </c>
      <c r="E110">
        <v>0.44</v>
      </c>
      <c r="F110">
        <v>10</v>
      </c>
      <c r="G110">
        <v>2.2999999999999998</v>
      </c>
      <c r="H110">
        <v>4.2999999999999997E-2</v>
      </c>
      <c r="I110">
        <v>0.16500000000000001</v>
      </c>
      <c r="J110">
        <v>4.4999999999999998E-2</v>
      </c>
      <c r="K110">
        <v>175</v>
      </c>
      <c r="L110">
        <v>208</v>
      </c>
      <c r="M110">
        <v>220</v>
      </c>
      <c r="N110">
        <v>0</v>
      </c>
      <c r="O110" s="4">
        <f>_xlfn.XLOOKUP(B110,[1]bus!A:A,[1]bus!K:K,"MISS")</f>
        <v>174.54512310574592</v>
      </c>
      <c r="P110" s="4">
        <f t="shared" si="3"/>
        <v>523.63536931723775</v>
      </c>
      <c r="Q110">
        <f t="shared" si="2"/>
        <v>525</v>
      </c>
      <c r="R110">
        <v>1</v>
      </c>
      <c r="S110">
        <f>400000*R110*D110</f>
        <v>17200000</v>
      </c>
    </row>
    <row r="111" spans="1:19" hidden="1" x14ac:dyDescent="0.2">
      <c r="A111" t="s">
        <v>351</v>
      </c>
      <c r="B111">
        <v>209</v>
      </c>
      <c r="C111">
        <v>211</v>
      </c>
      <c r="D111">
        <v>0</v>
      </c>
      <c r="E111">
        <v>0.02</v>
      </c>
      <c r="F111">
        <v>768</v>
      </c>
      <c r="G111">
        <v>0</v>
      </c>
      <c r="H111">
        <v>2E-3</v>
      </c>
      <c r="I111">
        <v>8.4000000000000005E-2</v>
      </c>
      <c r="J111">
        <v>0</v>
      </c>
      <c r="K111">
        <v>400</v>
      </c>
      <c r="L111">
        <v>510</v>
      </c>
      <c r="M111">
        <v>600</v>
      </c>
      <c r="N111">
        <v>1.03</v>
      </c>
      <c r="O111" s="4">
        <f>_xlfn.XLOOKUP(B111,[1]bus!A:A,[1]bus!K:K,"MISS")</f>
        <v>178.66449003649271</v>
      </c>
      <c r="P111" s="4">
        <f t="shared" si="3"/>
        <v>535.99347010947815</v>
      </c>
      <c r="Q111">
        <f t="shared" si="2"/>
        <v>800</v>
      </c>
      <c r="R111">
        <v>0</v>
      </c>
      <c r="S111">
        <v>-1</v>
      </c>
    </row>
    <row r="112" spans="1:19" x14ac:dyDescent="0.2">
      <c r="A112" t="s">
        <v>352</v>
      </c>
      <c r="B112">
        <v>209</v>
      </c>
      <c r="C112">
        <v>211</v>
      </c>
      <c r="D112">
        <v>0</v>
      </c>
      <c r="E112">
        <v>0.02</v>
      </c>
      <c r="F112">
        <v>768</v>
      </c>
      <c r="G112">
        <v>0</v>
      </c>
      <c r="H112">
        <v>2E-3</v>
      </c>
      <c r="I112">
        <v>8.4000000000000005E-2</v>
      </c>
      <c r="J112">
        <v>0</v>
      </c>
      <c r="K112">
        <v>400</v>
      </c>
      <c r="L112">
        <v>510</v>
      </c>
      <c r="M112">
        <v>600</v>
      </c>
      <c r="N112">
        <v>1.03</v>
      </c>
      <c r="O112" s="4">
        <f>_xlfn.XLOOKUP(B112,[1]bus!A:A,[1]bus!K:K,"MISS")</f>
        <v>178.66449003649271</v>
      </c>
      <c r="P112" s="4">
        <f t="shared" si="3"/>
        <v>535.99347010947815</v>
      </c>
      <c r="Q112">
        <f t="shared" si="2"/>
        <v>800</v>
      </c>
      <c r="R112">
        <f>Q111/K111-1</f>
        <v>1</v>
      </c>
      <c r="S112">
        <f>900000*R112*D112</f>
        <v>0</v>
      </c>
    </row>
    <row r="113" spans="1:19" hidden="1" x14ac:dyDescent="0.2">
      <c r="A113" t="s">
        <v>353</v>
      </c>
      <c r="B113">
        <v>209</v>
      </c>
      <c r="C113">
        <v>212</v>
      </c>
      <c r="D113">
        <v>0</v>
      </c>
      <c r="E113">
        <v>0.02</v>
      </c>
      <c r="F113">
        <v>768</v>
      </c>
      <c r="G113">
        <v>0</v>
      </c>
      <c r="H113">
        <v>2E-3</v>
      </c>
      <c r="I113">
        <v>8.4000000000000005E-2</v>
      </c>
      <c r="J113">
        <v>0</v>
      </c>
      <c r="K113">
        <v>400</v>
      </c>
      <c r="L113">
        <v>510</v>
      </c>
      <c r="M113">
        <v>600</v>
      </c>
      <c r="N113">
        <v>1.03</v>
      </c>
      <c r="O113" s="4">
        <f>_xlfn.XLOOKUP(B113,[1]bus!A:A,[1]bus!K:K,"MISS")</f>
        <v>178.66449003649271</v>
      </c>
      <c r="P113" s="4">
        <f t="shared" si="3"/>
        <v>535.99347010947815</v>
      </c>
      <c r="Q113">
        <f t="shared" si="2"/>
        <v>800</v>
      </c>
      <c r="R113">
        <v>0</v>
      </c>
      <c r="S113">
        <v>-1</v>
      </c>
    </row>
    <row r="114" spans="1:19" x14ac:dyDescent="0.2">
      <c r="A114" t="s">
        <v>354</v>
      </c>
      <c r="B114">
        <v>209</v>
      </c>
      <c r="C114">
        <v>212</v>
      </c>
      <c r="D114">
        <v>0</v>
      </c>
      <c r="E114">
        <v>0.02</v>
      </c>
      <c r="F114">
        <v>768</v>
      </c>
      <c r="G114">
        <v>0</v>
      </c>
      <c r="H114">
        <v>2E-3</v>
      </c>
      <c r="I114">
        <v>8.4000000000000005E-2</v>
      </c>
      <c r="J114">
        <v>0</v>
      </c>
      <c r="K114">
        <v>400</v>
      </c>
      <c r="L114">
        <v>510</v>
      </c>
      <c r="M114">
        <v>600</v>
      </c>
      <c r="N114">
        <v>1.03</v>
      </c>
      <c r="O114" s="4">
        <f>_xlfn.XLOOKUP(B114,[1]bus!A:A,[1]bus!K:K,"MISS")</f>
        <v>178.66449003649271</v>
      </c>
      <c r="P114" s="4">
        <f t="shared" si="3"/>
        <v>535.99347010947815</v>
      </c>
      <c r="Q114">
        <f t="shared" si="2"/>
        <v>800</v>
      </c>
      <c r="R114">
        <f>Q113/K113-1</f>
        <v>1</v>
      </c>
      <c r="S114">
        <f>900000*R114*D114</f>
        <v>0</v>
      </c>
    </row>
    <row r="115" spans="1:19" hidden="1" x14ac:dyDescent="0.2">
      <c r="A115" t="s">
        <v>355</v>
      </c>
      <c r="B115">
        <v>210</v>
      </c>
      <c r="C115">
        <v>211</v>
      </c>
      <c r="D115">
        <v>0</v>
      </c>
      <c r="E115">
        <v>0.02</v>
      </c>
      <c r="F115">
        <v>768</v>
      </c>
      <c r="G115">
        <v>0</v>
      </c>
      <c r="H115">
        <v>2E-3</v>
      </c>
      <c r="I115">
        <v>8.4000000000000005E-2</v>
      </c>
      <c r="J115">
        <v>0</v>
      </c>
      <c r="K115">
        <v>400</v>
      </c>
      <c r="L115">
        <v>510</v>
      </c>
      <c r="M115">
        <v>600</v>
      </c>
      <c r="N115">
        <v>1.0149999999999999</v>
      </c>
      <c r="O115" s="4">
        <f>_xlfn.XLOOKUP(B115,[1]bus!A:A,[1]bus!K:K,"MISS")</f>
        <v>199.06029237394384</v>
      </c>
      <c r="P115" s="4">
        <f t="shared" si="3"/>
        <v>597.18087712183149</v>
      </c>
      <c r="Q115">
        <f t="shared" si="2"/>
        <v>800</v>
      </c>
      <c r="R115">
        <v>0</v>
      </c>
      <c r="S115">
        <v>-1</v>
      </c>
    </row>
    <row r="116" spans="1:19" x14ac:dyDescent="0.2">
      <c r="A116" t="s">
        <v>356</v>
      </c>
      <c r="B116">
        <v>210</v>
      </c>
      <c r="C116">
        <v>211</v>
      </c>
      <c r="D116">
        <v>0</v>
      </c>
      <c r="E116">
        <v>0.02</v>
      </c>
      <c r="F116">
        <v>768</v>
      </c>
      <c r="G116">
        <v>0</v>
      </c>
      <c r="H116">
        <v>2E-3</v>
      </c>
      <c r="I116">
        <v>8.4000000000000005E-2</v>
      </c>
      <c r="J116">
        <v>0</v>
      </c>
      <c r="K116">
        <v>400</v>
      </c>
      <c r="L116">
        <v>510</v>
      </c>
      <c r="M116">
        <v>600</v>
      </c>
      <c r="N116">
        <v>1.0149999999999999</v>
      </c>
      <c r="O116" s="4">
        <f>_xlfn.XLOOKUP(B116,[1]bus!A:A,[1]bus!K:K,"MISS")</f>
        <v>199.06029237394384</v>
      </c>
      <c r="P116" s="4">
        <f t="shared" si="3"/>
        <v>597.18087712183149</v>
      </c>
      <c r="Q116">
        <f t="shared" si="2"/>
        <v>800</v>
      </c>
      <c r="R116">
        <f>Q115/K115-1</f>
        <v>1</v>
      </c>
      <c r="S116">
        <f>900000*R116*D116</f>
        <v>0</v>
      </c>
    </row>
    <row r="117" spans="1:19" hidden="1" x14ac:dyDescent="0.2">
      <c r="A117" t="s">
        <v>357</v>
      </c>
      <c r="B117">
        <v>210</v>
      </c>
      <c r="C117">
        <v>212</v>
      </c>
      <c r="D117">
        <v>0</v>
      </c>
      <c r="E117">
        <v>0.02</v>
      </c>
      <c r="F117">
        <v>768</v>
      </c>
      <c r="G117">
        <v>0</v>
      </c>
      <c r="H117">
        <v>2E-3</v>
      </c>
      <c r="I117">
        <v>8.4000000000000005E-2</v>
      </c>
      <c r="J117">
        <v>0</v>
      </c>
      <c r="K117">
        <v>400</v>
      </c>
      <c r="L117">
        <v>510</v>
      </c>
      <c r="M117">
        <v>600</v>
      </c>
      <c r="N117">
        <v>1.0149999999999999</v>
      </c>
      <c r="O117" s="4">
        <f>_xlfn.XLOOKUP(B117,[1]bus!A:A,[1]bus!K:K,"MISS")</f>
        <v>199.06029237394384</v>
      </c>
      <c r="P117" s="4">
        <f t="shared" si="3"/>
        <v>597.18087712183149</v>
      </c>
      <c r="Q117">
        <f t="shared" si="2"/>
        <v>800</v>
      </c>
      <c r="R117">
        <v>0</v>
      </c>
      <c r="S117">
        <v>-1</v>
      </c>
    </row>
    <row r="118" spans="1:19" x14ac:dyDescent="0.2">
      <c r="A118" t="s">
        <v>358</v>
      </c>
      <c r="B118">
        <v>210</v>
      </c>
      <c r="C118">
        <v>212</v>
      </c>
      <c r="D118">
        <v>0</v>
      </c>
      <c r="E118">
        <v>0.02</v>
      </c>
      <c r="F118">
        <v>768</v>
      </c>
      <c r="G118">
        <v>0</v>
      </c>
      <c r="H118">
        <v>2E-3</v>
      </c>
      <c r="I118">
        <v>8.4000000000000005E-2</v>
      </c>
      <c r="J118">
        <v>0</v>
      </c>
      <c r="K118">
        <v>400</v>
      </c>
      <c r="L118">
        <v>510</v>
      </c>
      <c r="M118">
        <v>600</v>
      </c>
      <c r="N118">
        <v>1.0149999999999999</v>
      </c>
      <c r="O118" s="4">
        <f>_xlfn.XLOOKUP(B118,[1]bus!A:A,[1]bus!K:K,"MISS")</f>
        <v>199.06029237394384</v>
      </c>
      <c r="P118" s="4">
        <f t="shared" si="3"/>
        <v>597.18087712183149</v>
      </c>
      <c r="Q118">
        <f t="shared" si="2"/>
        <v>800</v>
      </c>
      <c r="R118">
        <f>Q117/K117-1</f>
        <v>1</v>
      </c>
      <c r="S118">
        <f>900000*R118*D118</f>
        <v>0</v>
      </c>
    </row>
    <row r="119" spans="1:19" hidden="1" x14ac:dyDescent="0.2">
      <c r="A119" t="s">
        <v>359</v>
      </c>
      <c r="B119">
        <v>211</v>
      </c>
      <c r="C119">
        <v>213</v>
      </c>
      <c r="D119">
        <v>33</v>
      </c>
      <c r="E119">
        <v>0.4</v>
      </c>
      <c r="F119">
        <v>11</v>
      </c>
      <c r="G119">
        <v>0.8</v>
      </c>
      <c r="H119">
        <v>6.0000000000000001E-3</v>
      </c>
      <c r="I119">
        <v>4.8000000000000001E-2</v>
      </c>
      <c r="J119">
        <v>0.1</v>
      </c>
      <c r="K119">
        <v>500</v>
      </c>
      <c r="L119">
        <v>600</v>
      </c>
      <c r="M119">
        <v>625</v>
      </c>
      <c r="N119">
        <v>0</v>
      </c>
      <c r="O119" s="4">
        <f>_xlfn.XLOOKUP(B119,[1]bus!A:A,[1]bus!K:K,"MISS")</f>
        <v>0</v>
      </c>
      <c r="P119" s="4">
        <f t="shared" si="3"/>
        <v>0</v>
      </c>
      <c r="Q119">
        <f t="shared" si="2"/>
        <v>500</v>
      </c>
      <c r="R119">
        <v>0</v>
      </c>
      <c r="S119">
        <v>-1</v>
      </c>
    </row>
    <row r="120" spans="1:19" hidden="1" x14ac:dyDescent="0.2">
      <c r="A120" t="s">
        <v>360</v>
      </c>
      <c r="B120">
        <v>211</v>
      </c>
      <c r="C120">
        <v>214</v>
      </c>
      <c r="D120">
        <v>29</v>
      </c>
      <c r="E120">
        <v>0.39</v>
      </c>
      <c r="F120">
        <v>11</v>
      </c>
      <c r="G120">
        <v>0.7</v>
      </c>
      <c r="H120">
        <v>5.0000000000000001E-3</v>
      </c>
      <c r="I120">
        <v>4.2000000000000003E-2</v>
      </c>
      <c r="J120">
        <v>8.7999999999999995E-2</v>
      </c>
      <c r="K120">
        <v>500</v>
      </c>
      <c r="L120">
        <v>600</v>
      </c>
      <c r="M120">
        <v>625</v>
      </c>
      <c r="N120">
        <v>0</v>
      </c>
      <c r="O120" s="4">
        <f>_xlfn.XLOOKUP(B120,[1]bus!A:A,[1]bus!K:K,"MISS")</f>
        <v>0</v>
      </c>
      <c r="P120" s="4">
        <f t="shared" si="3"/>
        <v>0</v>
      </c>
      <c r="Q120">
        <f t="shared" si="2"/>
        <v>500</v>
      </c>
      <c r="R120">
        <f>Q119/K119-1</f>
        <v>0</v>
      </c>
      <c r="S120">
        <v>-1</v>
      </c>
    </row>
    <row r="121" spans="1:19" hidden="1" x14ac:dyDescent="0.2">
      <c r="A121" t="s">
        <v>361</v>
      </c>
      <c r="B121">
        <v>212</v>
      </c>
      <c r="C121">
        <v>213</v>
      </c>
      <c r="D121">
        <v>33</v>
      </c>
      <c r="E121">
        <v>0.4</v>
      </c>
      <c r="F121">
        <v>11</v>
      </c>
      <c r="G121">
        <v>0.8</v>
      </c>
      <c r="H121">
        <v>6.0000000000000001E-3</v>
      </c>
      <c r="I121">
        <v>4.8000000000000001E-2</v>
      </c>
      <c r="J121">
        <v>0.1</v>
      </c>
      <c r="K121">
        <v>500</v>
      </c>
      <c r="L121">
        <v>600</v>
      </c>
      <c r="M121">
        <v>625</v>
      </c>
      <c r="N121">
        <v>0</v>
      </c>
      <c r="O121" s="4">
        <f>_xlfn.XLOOKUP(B121,[1]bus!A:A,[1]bus!K:K,"MISS")</f>
        <v>0</v>
      </c>
      <c r="P121" s="4">
        <f t="shared" si="3"/>
        <v>0</v>
      </c>
      <c r="Q121">
        <f t="shared" si="2"/>
        <v>500</v>
      </c>
      <c r="R121">
        <f>Q120/K120-1</f>
        <v>0</v>
      </c>
      <c r="S121">
        <v>-1</v>
      </c>
    </row>
    <row r="122" spans="1:19" hidden="1" x14ac:dyDescent="0.2">
      <c r="A122" t="s">
        <v>362</v>
      </c>
      <c r="B122">
        <v>212</v>
      </c>
      <c r="C122">
        <v>223</v>
      </c>
      <c r="D122">
        <v>67</v>
      </c>
      <c r="E122">
        <v>0.52</v>
      </c>
      <c r="F122">
        <v>11</v>
      </c>
      <c r="G122">
        <v>1.6</v>
      </c>
      <c r="H122">
        <v>1.2E-2</v>
      </c>
      <c r="I122">
        <v>9.7000000000000003E-2</v>
      </c>
      <c r="J122">
        <v>0.20300000000000001</v>
      </c>
      <c r="K122">
        <v>500</v>
      </c>
      <c r="L122">
        <v>600</v>
      </c>
      <c r="M122">
        <v>625</v>
      </c>
      <c r="N122">
        <v>0</v>
      </c>
      <c r="O122" s="4">
        <f>_xlfn.XLOOKUP(B122,[1]bus!A:A,[1]bus!K:K,"MISS")</f>
        <v>0</v>
      </c>
      <c r="P122" s="4">
        <f t="shared" si="3"/>
        <v>0</v>
      </c>
      <c r="Q122">
        <f t="shared" si="2"/>
        <v>500</v>
      </c>
      <c r="R122">
        <f>Q121/K121-1</f>
        <v>0</v>
      </c>
      <c r="S122">
        <v>-1</v>
      </c>
    </row>
    <row r="123" spans="1:19" hidden="1" x14ac:dyDescent="0.2">
      <c r="A123" t="s">
        <v>363</v>
      </c>
      <c r="B123">
        <v>213</v>
      </c>
      <c r="C123">
        <v>223</v>
      </c>
      <c r="D123">
        <v>60</v>
      </c>
      <c r="E123">
        <v>0.49</v>
      </c>
      <c r="F123">
        <v>11</v>
      </c>
      <c r="G123">
        <v>1.5</v>
      </c>
      <c r="H123">
        <v>1.0999999999999999E-2</v>
      </c>
      <c r="I123">
        <v>8.6999999999999994E-2</v>
      </c>
      <c r="J123">
        <v>0.182</v>
      </c>
      <c r="K123">
        <v>500</v>
      </c>
      <c r="L123">
        <v>600</v>
      </c>
      <c r="M123">
        <v>625</v>
      </c>
      <c r="N123">
        <v>0</v>
      </c>
      <c r="O123" s="4">
        <f>_xlfn.XLOOKUP(B123,[1]bus!A:A,[1]bus!K:K,"MISS")</f>
        <v>270.44592805217093</v>
      </c>
      <c r="P123" s="4">
        <f t="shared" si="3"/>
        <v>811.33778415651273</v>
      </c>
      <c r="Q123">
        <f t="shared" si="2"/>
        <v>1000</v>
      </c>
      <c r="R123">
        <f>Q122/K122-1</f>
        <v>0</v>
      </c>
      <c r="S123">
        <v>-1</v>
      </c>
    </row>
    <row r="124" spans="1:19" hidden="1" x14ac:dyDescent="0.2">
      <c r="A124" t="s">
        <v>364</v>
      </c>
      <c r="B124">
        <v>213</v>
      </c>
      <c r="C124">
        <v>223</v>
      </c>
      <c r="D124">
        <v>60</v>
      </c>
      <c r="E124">
        <v>0.49</v>
      </c>
      <c r="F124">
        <v>11</v>
      </c>
      <c r="G124">
        <v>1.5</v>
      </c>
      <c r="H124">
        <v>1.0999999999999999E-2</v>
      </c>
      <c r="I124">
        <v>8.6999999999999994E-2</v>
      </c>
      <c r="J124">
        <v>0.182</v>
      </c>
      <c r="K124">
        <v>500</v>
      </c>
      <c r="L124">
        <v>600</v>
      </c>
      <c r="M124">
        <v>625</v>
      </c>
      <c r="N124">
        <v>0</v>
      </c>
      <c r="O124" s="4">
        <f>_xlfn.XLOOKUP(B124,[1]bus!A:A,[1]bus!K:K,"MISS")</f>
        <v>270.44592805217093</v>
      </c>
      <c r="P124" s="4">
        <f t="shared" si="3"/>
        <v>811.33778415651273</v>
      </c>
      <c r="Q124">
        <f t="shared" si="2"/>
        <v>1000</v>
      </c>
      <c r="R124">
        <f>Q123/K123-1</f>
        <v>1</v>
      </c>
      <c r="S124">
        <f>900000*R124*D124</f>
        <v>54000000</v>
      </c>
    </row>
    <row r="125" spans="1:19" hidden="1" x14ac:dyDescent="0.2">
      <c r="A125" t="s">
        <v>365</v>
      </c>
      <c r="B125">
        <v>214</v>
      </c>
      <c r="C125">
        <v>216</v>
      </c>
      <c r="D125">
        <v>27</v>
      </c>
      <c r="E125">
        <v>0.38</v>
      </c>
      <c r="F125">
        <v>11</v>
      </c>
      <c r="G125">
        <v>0.7</v>
      </c>
      <c r="H125">
        <v>5.0000000000000001E-3</v>
      </c>
      <c r="I125">
        <v>5.8999999999999997E-2</v>
      </c>
      <c r="J125">
        <v>8.2000000000000003E-2</v>
      </c>
      <c r="K125">
        <v>500</v>
      </c>
      <c r="L125">
        <v>600</v>
      </c>
      <c r="M125">
        <v>625</v>
      </c>
      <c r="N125">
        <v>0</v>
      </c>
      <c r="O125" s="4">
        <f>_xlfn.XLOOKUP(B125,[1]bus!A:A,[1]bus!K:K,"MISS")</f>
        <v>197.88127753782064</v>
      </c>
      <c r="P125" s="4">
        <f t="shared" si="3"/>
        <v>593.64383261346188</v>
      </c>
      <c r="Q125">
        <f t="shared" si="2"/>
        <v>1000</v>
      </c>
      <c r="R125">
        <v>0</v>
      </c>
      <c r="S125">
        <v>-1</v>
      </c>
    </row>
    <row r="126" spans="1:19" hidden="1" x14ac:dyDescent="0.2">
      <c r="A126" t="s">
        <v>366</v>
      </c>
      <c r="B126">
        <v>214</v>
      </c>
      <c r="C126">
        <v>216</v>
      </c>
      <c r="D126">
        <v>27</v>
      </c>
      <c r="E126">
        <v>0.38</v>
      </c>
      <c r="F126">
        <v>11</v>
      </c>
      <c r="G126">
        <v>0.7</v>
      </c>
      <c r="H126">
        <v>5.0000000000000001E-3</v>
      </c>
      <c r="I126">
        <v>5.8999999999999997E-2</v>
      </c>
      <c r="J126">
        <v>8.2000000000000003E-2</v>
      </c>
      <c r="K126">
        <v>500</v>
      </c>
      <c r="L126">
        <v>600</v>
      </c>
      <c r="M126">
        <v>625</v>
      </c>
      <c r="N126">
        <v>0</v>
      </c>
      <c r="O126" s="4">
        <f>_xlfn.XLOOKUP(B126,[1]bus!A:A,[1]bus!K:K,"MISS")</f>
        <v>197.88127753782064</v>
      </c>
      <c r="P126" s="4">
        <f t="shared" si="3"/>
        <v>593.64383261346188</v>
      </c>
      <c r="Q126">
        <f t="shared" si="2"/>
        <v>1000</v>
      </c>
      <c r="R126">
        <f>Q125/K125-1</f>
        <v>1</v>
      </c>
      <c r="S126">
        <f>900000*R126*D126</f>
        <v>24300000</v>
      </c>
    </row>
    <row r="127" spans="1:19" hidden="1" x14ac:dyDescent="0.2">
      <c r="A127" t="s">
        <v>367</v>
      </c>
      <c r="B127">
        <v>215</v>
      </c>
      <c r="C127">
        <v>216</v>
      </c>
      <c r="D127">
        <v>12</v>
      </c>
      <c r="E127">
        <v>0.33</v>
      </c>
      <c r="F127">
        <v>11</v>
      </c>
      <c r="G127">
        <v>0.3</v>
      </c>
      <c r="H127">
        <v>2E-3</v>
      </c>
      <c r="I127">
        <v>1.7000000000000001E-2</v>
      </c>
      <c r="J127">
        <v>3.5999999999999997E-2</v>
      </c>
      <c r="K127">
        <v>500</v>
      </c>
      <c r="L127">
        <v>600</v>
      </c>
      <c r="M127">
        <v>625</v>
      </c>
      <c r="N127">
        <v>0</v>
      </c>
      <c r="O127" s="4">
        <f>_xlfn.XLOOKUP(B127,[1]bus!A:A,[1]bus!K:K,"MISS")</f>
        <v>323.39604202896487</v>
      </c>
      <c r="P127" s="4">
        <f t="shared" si="3"/>
        <v>970.18812608689461</v>
      </c>
      <c r="Q127">
        <f t="shared" si="2"/>
        <v>1000</v>
      </c>
      <c r="R127">
        <v>0</v>
      </c>
      <c r="S127">
        <v>-1</v>
      </c>
    </row>
    <row r="128" spans="1:19" hidden="1" x14ac:dyDescent="0.2">
      <c r="A128" t="s">
        <v>368</v>
      </c>
      <c r="B128">
        <v>215</v>
      </c>
      <c r="C128">
        <v>216</v>
      </c>
      <c r="D128">
        <v>12</v>
      </c>
      <c r="E128">
        <v>0.33</v>
      </c>
      <c r="F128">
        <v>11</v>
      </c>
      <c r="G128">
        <v>0.3</v>
      </c>
      <c r="H128">
        <v>2E-3</v>
      </c>
      <c r="I128">
        <v>1.7000000000000001E-2</v>
      </c>
      <c r="J128">
        <v>3.5999999999999997E-2</v>
      </c>
      <c r="K128">
        <v>500</v>
      </c>
      <c r="L128">
        <v>600</v>
      </c>
      <c r="M128">
        <v>625</v>
      </c>
      <c r="N128">
        <v>0</v>
      </c>
      <c r="O128" s="4">
        <f>_xlfn.XLOOKUP(B128,[1]bus!A:A,[1]bus!K:K,"MISS")</f>
        <v>323.39604202896487</v>
      </c>
      <c r="P128" s="4">
        <f t="shared" si="3"/>
        <v>970.18812608689461</v>
      </c>
      <c r="Q128">
        <f t="shared" si="2"/>
        <v>1000</v>
      </c>
      <c r="R128">
        <f>Q127/K127-1</f>
        <v>1</v>
      </c>
      <c r="S128">
        <f>900000*R128*D128</f>
        <v>10800000</v>
      </c>
    </row>
    <row r="129" spans="1:19" hidden="1" x14ac:dyDescent="0.2">
      <c r="A129" t="s">
        <v>369</v>
      </c>
      <c r="B129">
        <v>215</v>
      </c>
      <c r="C129">
        <v>221</v>
      </c>
      <c r="D129">
        <v>34</v>
      </c>
      <c r="E129">
        <v>0.41</v>
      </c>
      <c r="F129">
        <v>11</v>
      </c>
      <c r="G129">
        <v>0.8</v>
      </c>
      <c r="H129">
        <v>6.0000000000000001E-3</v>
      </c>
      <c r="I129">
        <v>4.9000000000000002E-2</v>
      </c>
      <c r="J129">
        <v>0.10299999999999999</v>
      </c>
      <c r="K129">
        <v>500</v>
      </c>
      <c r="L129">
        <v>600</v>
      </c>
      <c r="M129">
        <v>625</v>
      </c>
      <c r="N129">
        <v>0</v>
      </c>
      <c r="O129" s="4">
        <f>_xlfn.XLOOKUP(B129,[1]bus!A:A,[1]bus!K:K,"MISS")</f>
        <v>323.39604202896487</v>
      </c>
      <c r="P129" s="4">
        <f t="shared" si="3"/>
        <v>970.18812608689461</v>
      </c>
      <c r="Q129">
        <f t="shared" si="2"/>
        <v>1000</v>
      </c>
      <c r="R129">
        <v>0</v>
      </c>
      <c r="S129">
        <v>-1</v>
      </c>
    </row>
    <row r="130" spans="1:19" hidden="1" x14ac:dyDescent="0.2">
      <c r="A130" t="s">
        <v>370</v>
      </c>
      <c r="B130">
        <v>215</v>
      </c>
      <c r="C130">
        <v>221</v>
      </c>
      <c r="D130">
        <v>34</v>
      </c>
      <c r="E130">
        <v>0.41</v>
      </c>
      <c r="F130">
        <v>11</v>
      </c>
      <c r="G130">
        <v>0.8</v>
      </c>
      <c r="H130">
        <v>6.0000000000000001E-3</v>
      </c>
      <c r="I130">
        <v>4.9000000000000002E-2</v>
      </c>
      <c r="J130">
        <v>0.10299999999999999</v>
      </c>
      <c r="K130">
        <v>500</v>
      </c>
      <c r="L130">
        <v>600</v>
      </c>
      <c r="M130">
        <v>625</v>
      </c>
      <c r="N130">
        <v>0</v>
      </c>
      <c r="O130" s="4">
        <f>_xlfn.XLOOKUP(B130,[1]bus!A:A,[1]bus!K:K,"MISS")</f>
        <v>323.39604202896487</v>
      </c>
      <c r="P130" s="4">
        <f t="shared" si="3"/>
        <v>970.18812608689461</v>
      </c>
      <c r="Q130">
        <f t="shared" ref="Q130:Q193" si="4">IF(P130&lt;K130,K130,IF(P130&lt;K130*2,K130*2,K130*3))</f>
        <v>1000</v>
      </c>
      <c r="R130">
        <f>Q129/K129-1</f>
        <v>1</v>
      </c>
      <c r="S130">
        <f>900000*R130*D130</f>
        <v>30600000</v>
      </c>
    </row>
    <row r="131" spans="1:19" hidden="1" x14ac:dyDescent="0.2">
      <c r="A131" t="s">
        <v>371</v>
      </c>
      <c r="B131">
        <v>215</v>
      </c>
      <c r="C131">
        <v>221</v>
      </c>
      <c r="D131">
        <v>34</v>
      </c>
      <c r="E131">
        <v>0.41</v>
      </c>
      <c r="F131">
        <v>11</v>
      </c>
      <c r="G131">
        <v>0.8</v>
      </c>
      <c r="H131">
        <v>6.0000000000000001E-3</v>
      </c>
      <c r="I131">
        <v>4.9000000000000002E-2</v>
      </c>
      <c r="J131">
        <v>0.10299999999999999</v>
      </c>
      <c r="K131">
        <v>500</v>
      </c>
      <c r="L131">
        <v>600</v>
      </c>
      <c r="M131">
        <v>625</v>
      </c>
      <c r="N131">
        <v>0</v>
      </c>
      <c r="O131" s="4">
        <f>_xlfn.XLOOKUP(B131,[1]bus!A:A,[1]bus!K:K,"MISS")</f>
        <v>323.39604202896487</v>
      </c>
      <c r="P131" s="4">
        <f t="shared" si="3"/>
        <v>970.18812608689461</v>
      </c>
      <c r="Q131">
        <f t="shared" si="4"/>
        <v>1000</v>
      </c>
      <c r="R131">
        <v>0</v>
      </c>
      <c r="S131">
        <v>-1</v>
      </c>
    </row>
    <row r="132" spans="1:19" hidden="1" x14ac:dyDescent="0.2">
      <c r="A132" t="s">
        <v>372</v>
      </c>
      <c r="B132">
        <v>215</v>
      </c>
      <c r="C132">
        <v>221</v>
      </c>
      <c r="D132">
        <v>34</v>
      </c>
      <c r="E132">
        <v>0.41</v>
      </c>
      <c r="F132">
        <v>11</v>
      </c>
      <c r="G132">
        <v>0.8</v>
      </c>
      <c r="H132">
        <v>6.0000000000000001E-3</v>
      </c>
      <c r="I132">
        <v>4.9000000000000002E-2</v>
      </c>
      <c r="J132">
        <v>0.10299999999999999</v>
      </c>
      <c r="K132">
        <v>500</v>
      </c>
      <c r="L132">
        <v>600</v>
      </c>
      <c r="M132">
        <v>625</v>
      </c>
      <c r="N132">
        <v>0</v>
      </c>
      <c r="O132" s="4">
        <f>_xlfn.XLOOKUP(B132,[1]bus!A:A,[1]bus!K:K,"MISS")</f>
        <v>323.39604202896487</v>
      </c>
      <c r="P132" s="4">
        <f t="shared" si="3"/>
        <v>970.18812608689461</v>
      </c>
      <c r="Q132">
        <f t="shared" si="4"/>
        <v>1000</v>
      </c>
      <c r="R132">
        <f>Q131/K131-1</f>
        <v>1</v>
      </c>
      <c r="S132">
        <f>900000*R132*D132</f>
        <v>30600000</v>
      </c>
    </row>
    <row r="133" spans="1:19" hidden="1" x14ac:dyDescent="0.2">
      <c r="A133" t="s">
        <v>373</v>
      </c>
      <c r="B133">
        <v>215</v>
      </c>
      <c r="C133">
        <v>224</v>
      </c>
      <c r="D133">
        <v>36</v>
      </c>
      <c r="E133">
        <v>0.41</v>
      </c>
      <c r="F133">
        <v>11</v>
      </c>
      <c r="G133">
        <v>0.9</v>
      </c>
      <c r="H133">
        <v>7.0000000000000001E-3</v>
      </c>
      <c r="I133">
        <v>5.1999999999999998E-2</v>
      </c>
      <c r="J133">
        <v>0.109</v>
      </c>
      <c r="K133">
        <v>500</v>
      </c>
      <c r="L133">
        <v>600</v>
      </c>
      <c r="M133">
        <v>625</v>
      </c>
      <c r="N133">
        <v>0</v>
      </c>
      <c r="O133" s="4">
        <f>_xlfn.XLOOKUP(B133,[1]bus!A:A,[1]bus!K:K,"MISS")</f>
        <v>323.39604202896487</v>
      </c>
      <c r="P133" s="4">
        <f t="shared" si="3"/>
        <v>970.18812608689461</v>
      </c>
      <c r="Q133">
        <f t="shared" si="4"/>
        <v>1000</v>
      </c>
      <c r="R133">
        <v>0</v>
      </c>
      <c r="S133">
        <v>-1</v>
      </c>
    </row>
    <row r="134" spans="1:19" hidden="1" x14ac:dyDescent="0.2">
      <c r="A134" t="s">
        <v>374</v>
      </c>
      <c r="B134">
        <v>215</v>
      </c>
      <c r="C134">
        <v>224</v>
      </c>
      <c r="D134">
        <v>36</v>
      </c>
      <c r="E134">
        <v>0.41</v>
      </c>
      <c r="F134">
        <v>11</v>
      </c>
      <c r="G134">
        <v>0.9</v>
      </c>
      <c r="H134">
        <v>7.0000000000000001E-3</v>
      </c>
      <c r="I134">
        <v>5.1999999999999998E-2</v>
      </c>
      <c r="J134">
        <v>0.109</v>
      </c>
      <c r="K134">
        <v>500</v>
      </c>
      <c r="L134">
        <v>600</v>
      </c>
      <c r="M134">
        <v>625</v>
      </c>
      <c r="N134">
        <v>0</v>
      </c>
      <c r="O134" s="4">
        <f>_xlfn.XLOOKUP(B134,[1]bus!A:A,[1]bus!K:K,"MISS")</f>
        <v>323.39604202896487</v>
      </c>
      <c r="P134" s="4">
        <f t="shared" si="3"/>
        <v>970.18812608689461</v>
      </c>
      <c r="Q134">
        <f t="shared" si="4"/>
        <v>1000</v>
      </c>
      <c r="R134">
        <f>Q133/K133-1</f>
        <v>1</v>
      </c>
      <c r="S134">
        <f>900000*R134*D134</f>
        <v>32400000</v>
      </c>
    </row>
    <row r="135" spans="1:19" hidden="1" x14ac:dyDescent="0.2">
      <c r="A135" t="s">
        <v>375</v>
      </c>
      <c r="B135">
        <v>216</v>
      </c>
      <c r="C135">
        <v>217</v>
      </c>
      <c r="D135">
        <v>18</v>
      </c>
      <c r="E135">
        <v>0.35</v>
      </c>
      <c r="F135">
        <v>11</v>
      </c>
      <c r="G135">
        <v>0.4</v>
      </c>
      <c r="H135">
        <v>3.0000000000000001E-3</v>
      </c>
      <c r="I135">
        <v>2.5999999999999999E-2</v>
      </c>
      <c r="J135">
        <v>5.5E-2</v>
      </c>
      <c r="K135">
        <v>500</v>
      </c>
      <c r="L135">
        <v>600</v>
      </c>
      <c r="M135">
        <v>625</v>
      </c>
      <c r="N135">
        <v>0</v>
      </c>
      <c r="O135" s="4">
        <f>_xlfn.XLOOKUP(B135,[1]bus!A:A,[1]bus!K:K,"MISS")</f>
        <v>101.9803902718557</v>
      </c>
      <c r="P135" s="4">
        <f t="shared" si="3"/>
        <v>305.94117081556709</v>
      </c>
      <c r="Q135">
        <f t="shared" si="4"/>
        <v>500</v>
      </c>
      <c r="R135">
        <v>0</v>
      </c>
      <c r="S135">
        <v>-1</v>
      </c>
    </row>
    <row r="136" spans="1:19" hidden="1" x14ac:dyDescent="0.2">
      <c r="A136" t="s">
        <v>376</v>
      </c>
      <c r="B136">
        <v>216</v>
      </c>
      <c r="C136">
        <v>219</v>
      </c>
      <c r="D136">
        <v>16</v>
      </c>
      <c r="E136">
        <v>0.34</v>
      </c>
      <c r="F136">
        <v>11</v>
      </c>
      <c r="G136">
        <v>0.4</v>
      </c>
      <c r="H136">
        <v>3.0000000000000001E-3</v>
      </c>
      <c r="I136">
        <v>2.3E-2</v>
      </c>
      <c r="J136">
        <v>4.9000000000000002E-2</v>
      </c>
      <c r="K136">
        <v>500</v>
      </c>
      <c r="L136">
        <v>600</v>
      </c>
      <c r="M136">
        <v>625</v>
      </c>
      <c r="N136">
        <v>0</v>
      </c>
      <c r="O136" s="4">
        <f>_xlfn.XLOOKUP(B136,[1]bus!A:A,[1]bus!K:K,"MISS")</f>
        <v>101.9803902718557</v>
      </c>
      <c r="P136" s="4">
        <f t="shared" si="3"/>
        <v>305.94117081556709</v>
      </c>
      <c r="Q136">
        <f t="shared" si="4"/>
        <v>500</v>
      </c>
      <c r="R136">
        <f>Q135/K135-1</f>
        <v>0</v>
      </c>
      <c r="S136">
        <v>-1</v>
      </c>
    </row>
    <row r="137" spans="1:19" hidden="1" x14ac:dyDescent="0.2">
      <c r="A137" t="s">
        <v>377</v>
      </c>
      <c r="B137">
        <v>217</v>
      </c>
      <c r="C137">
        <v>218</v>
      </c>
      <c r="D137">
        <v>10</v>
      </c>
      <c r="E137">
        <v>0.32</v>
      </c>
      <c r="F137">
        <v>11</v>
      </c>
      <c r="G137">
        <v>0.2</v>
      </c>
      <c r="H137">
        <v>2E-3</v>
      </c>
      <c r="I137">
        <v>1.4E-2</v>
      </c>
      <c r="J137">
        <v>0.03</v>
      </c>
      <c r="K137">
        <v>500</v>
      </c>
      <c r="L137">
        <v>600</v>
      </c>
      <c r="M137">
        <v>625</v>
      </c>
      <c r="N137">
        <v>0</v>
      </c>
      <c r="O137" s="4">
        <f>_xlfn.XLOOKUP(B137,[1]bus!A:A,[1]bus!K:K,"MISS")</f>
        <v>0</v>
      </c>
      <c r="P137" s="4">
        <f t="shared" si="3"/>
        <v>0</v>
      </c>
      <c r="Q137">
        <f t="shared" si="4"/>
        <v>500</v>
      </c>
      <c r="R137">
        <f>Q136/K136-1</f>
        <v>0</v>
      </c>
      <c r="S137">
        <v>-1</v>
      </c>
    </row>
    <row r="138" spans="1:19" hidden="1" x14ac:dyDescent="0.2">
      <c r="A138" t="s">
        <v>378</v>
      </c>
      <c r="B138">
        <v>217</v>
      </c>
      <c r="C138">
        <v>222</v>
      </c>
      <c r="D138">
        <v>73</v>
      </c>
      <c r="E138">
        <v>0.54</v>
      </c>
      <c r="F138">
        <v>11</v>
      </c>
      <c r="G138">
        <v>1.8</v>
      </c>
      <c r="H138">
        <v>1.4E-2</v>
      </c>
      <c r="I138">
        <v>0.105</v>
      </c>
      <c r="J138">
        <v>0.221</v>
      </c>
      <c r="K138">
        <v>500</v>
      </c>
      <c r="L138">
        <v>600</v>
      </c>
      <c r="M138">
        <v>625</v>
      </c>
      <c r="N138">
        <v>0</v>
      </c>
      <c r="O138" s="4">
        <f>_xlfn.XLOOKUP(B138,[1]bus!A:A,[1]bus!K:K,"MISS")</f>
        <v>0</v>
      </c>
      <c r="P138" s="4">
        <f t="shared" si="3"/>
        <v>0</v>
      </c>
      <c r="Q138">
        <f t="shared" si="4"/>
        <v>500</v>
      </c>
      <c r="R138">
        <f>Q137/K137-1</f>
        <v>0</v>
      </c>
      <c r="S138">
        <v>-1</v>
      </c>
    </row>
    <row r="139" spans="1:19" hidden="1" x14ac:dyDescent="0.2">
      <c r="A139" t="s">
        <v>379</v>
      </c>
      <c r="B139">
        <v>218</v>
      </c>
      <c r="C139">
        <v>221</v>
      </c>
      <c r="D139">
        <v>18</v>
      </c>
      <c r="E139">
        <v>0.35</v>
      </c>
      <c r="F139">
        <v>11</v>
      </c>
      <c r="G139">
        <v>0.4</v>
      </c>
      <c r="H139">
        <v>3.0000000000000001E-3</v>
      </c>
      <c r="I139">
        <v>2.5999999999999999E-2</v>
      </c>
      <c r="J139">
        <v>5.5E-2</v>
      </c>
      <c r="K139">
        <v>500</v>
      </c>
      <c r="L139">
        <v>600</v>
      </c>
      <c r="M139">
        <v>625</v>
      </c>
      <c r="N139">
        <v>0</v>
      </c>
      <c r="O139" s="4">
        <f>_xlfn.XLOOKUP(B139,[1]bus!A:A,[1]bus!K:K,"MISS")</f>
        <v>339.87203474248952</v>
      </c>
      <c r="P139" s="4">
        <f t="shared" si="3"/>
        <v>1019.6161042274686</v>
      </c>
      <c r="Q139">
        <f t="shared" si="4"/>
        <v>1500</v>
      </c>
      <c r="R139">
        <f>Q138/K138-1</f>
        <v>0</v>
      </c>
      <c r="S139">
        <v>-1</v>
      </c>
    </row>
    <row r="140" spans="1:19" hidden="1" x14ac:dyDescent="0.2">
      <c r="A140" t="s">
        <v>380</v>
      </c>
      <c r="B140">
        <v>218</v>
      </c>
      <c r="C140">
        <v>221</v>
      </c>
      <c r="D140">
        <v>18</v>
      </c>
      <c r="E140">
        <v>0.35</v>
      </c>
      <c r="F140">
        <v>11</v>
      </c>
      <c r="G140">
        <v>0.4</v>
      </c>
      <c r="H140">
        <v>3.0000000000000001E-3</v>
      </c>
      <c r="I140">
        <v>2.5999999999999999E-2</v>
      </c>
      <c r="J140">
        <v>5.5E-2</v>
      </c>
      <c r="K140">
        <v>500</v>
      </c>
      <c r="L140">
        <v>600</v>
      </c>
      <c r="M140">
        <v>625</v>
      </c>
      <c r="N140">
        <v>0</v>
      </c>
      <c r="O140" s="4">
        <f>_xlfn.XLOOKUP(B140,[1]bus!A:A,[1]bus!K:K,"MISS")</f>
        <v>339.87203474248952</v>
      </c>
      <c r="P140" s="4">
        <f t="shared" si="3"/>
        <v>1019.6161042274686</v>
      </c>
      <c r="Q140">
        <f t="shared" si="4"/>
        <v>1500</v>
      </c>
      <c r="R140">
        <v>1</v>
      </c>
      <c r="S140">
        <f>900000*R140*D140</f>
        <v>16200000</v>
      </c>
    </row>
    <row r="141" spans="1:19" hidden="1" x14ac:dyDescent="0.2">
      <c r="A141" t="s">
        <v>381</v>
      </c>
      <c r="B141">
        <v>218</v>
      </c>
      <c r="C141">
        <v>221</v>
      </c>
      <c r="D141">
        <v>18</v>
      </c>
      <c r="E141">
        <v>0.35</v>
      </c>
      <c r="F141">
        <v>11</v>
      </c>
      <c r="G141">
        <v>0.4</v>
      </c>
      <c r="H141">
        <v>3.0000000000000001E-3</v>
      </c>
      <c r="I141">
        <v>2.5999999999999999E-2</v>
      </c>
      <c r="J141">
        <v>5.5E-2</v>
      </c>
      <c r="K141">
        <v>500</v>
      </c>
      <c r="L141">
        <v>600</v>
      </c>
      <c r="M141">
        <v>625</v>
      </c>
      <c r="N141">
        <v>0</v>
      </c>
      <c r="O141" s="4">
        <f>_xlfn.XLOOKUP(B141,[1]bus!A:A,[1]bus!K:K,"MISS")</f>
        <v>339.87203474248952</v>
      </c>
      <c r="P141" s="4">
        <f t="shared" si="3"/>
        <v>1019.6161042274686</v>
      </c>
      <c r="Q141">
        <f t="shared" si="4"/>
        <v>1500</v>
      </c>
      <c r="R141">
        <v>1</v>
      </c>
      <c r="S141">
        <f>900000*R141*D141</f>
        <v>16200000</v>
      </c>
    </row>
    <row r="142" spans="1:19" hidden="1" x14ac:dyDescent="0.2">
      <c r="A142" t="s">
        <v>382</v>
      </c>
      <c r="B142">
        <v>218</v>
      </c>
      <c r="C142">
        <v>221</v>
      </c>
      <c r="D142">
        <v>18</v>
      </c>
      <c r="E142">
        <v>0.35</v>
      </c>
      <c r="F142">
        <v>11</v>
      </c>
      <c r="G142">
        <v>0.4</v>
      </c>
      <c r="H142">
        <v>3.0000000000000001E-3</v>
      </c>
      <c r="I142">
        <v>2.5999999999999999E-2</v>
      </c>
      <c r="J142">
        <v>5.5E-2</v>
      </c>
      <c r="K142">
        <v>500</v>
      </c>
      <c r="L142">
        <v>600</v>
      </c>
      <c r="M142">
        <v>625</v>
      </c>
      <c r="N142">
        <v>0</v>
      </c>
      <c r="O142" s="4">
        <f>_xlfn.XLOOKUP(B142,[1]bus!A:A,[1]bus!K:K,"MISS")</f>
        <v>339.87203474248952</v>
      </c>
      <c r="P142" s="4">
        <f t="shared" si="3"/>
        <v>1019.6161042274686</v>
      </c>
      <c r="Q142">
        <f t="shared" si="4"/>
        <v>1500</v>
      </c>
      <c r="R142">
        <v>0</v>
      </c>
      <c r="S142">
        <v>-1</v>
      </c>
    </row>
    <row r="143" spans="1:19" hidden="1" x14ac:dyDescent="0.2">
      <c r="A143" t="s">
        <v>383</v>
      </c>
      <c r="B143">
        <v>218</v>
      </c>
      <c r="C143">
        <v>221</v>
      </c>
      <c r="D143">
        <v>18</v>
      </c>
      <c r="E143">
        <v>0.35</v>
      </c>
      <c r="F143">
        <v>11</v>
      </c>
      <c r="G143">
        <v>0.4</v>
      </c>
      <c r="H143">
        <v>3.0000000000000001E-3</v>
      </c>
      <c r="I143">
        <v>2.5999999999999999E-2</v>
      </c>
      <c r="J143">
        <v>5.5E-2</v>
      </c>
      <c r="K143">
        <v>500</v>
      </c>
      <c r="L143">
        <v>600</v>
      </c>
      <c r="M143">
        <v>625</v>
      </c>
      <c r="N143">
        <v>0</v>
      </c>
      <c r="O143" s="4">
        <f>_xlfn.XLOOKUP(B143,[1]bus!A:A,[1]bus!K:K,"MISS")</f>
        <v>339.87203474248952</v>
      </c>
      <c r="P143" s="4">
        <f t="shared" si="3"/>
        <v>1019.6161042274686</v>
      </c>
      <c r="Q143">
        <f t="shared" si="4"/>
        <v>1500</v>
      </c>
      <c r="R143">
        <v>1</v>
      </c>
      <c r="S143">
        <f>900000*R143*D143</f>
        <v>16200000</v>
      </c>
    </row>
    <row r="144" spans="1:19" hidden="1" x14ac:dyDescent="0.2">
      <c r="A144" t="s">
        <v>384</v>
      </c>
      <c r="B144">
        <v>218</v>
      </c>
      <c r="C144">
        <v>221</v>
      </c>
      <c r="D144">
        <v>18</v>
      </c>
      <c r="E144">
        <v>0.35</v>
      </c>
      <c r="F144">
        <v>11</v>
      </c>
      <c r="G144">
        <v>0.4</v>
      </c>
      <c r="H144">
        <v>3.0000000000000001E-3</v>
      </c>
      <c r="I144">
        <v>2.5999999999999999E-2</v>
      </c>
      <c r="J144">
        <v>5.5E-2</v>
      </c>
      <c r="K144">
        <v>500</v>
      </c>
      <c r="L144">
        <v>600</v>
      </c>
      <c r="M144">
        <v>625</v>
      </c>
      <c r="N144">
        <v>0</v>
      </c>
      <c r="O144" s="4">
        <f>_xlfn.XLOOKUP(B144,[1]bus!A:A,[1]bus!K:K,"MISS")</f>
        <v>339.87203474248952</v>
      </c>
      <c r="P144" s="4">
        <f t="shared" si="3"/>
        <v>1019.6161042274686</v>
      </c>
      <c r="Q144">
        <f t="shared" si="4"/>
        <v>1500</v>
      </c>
      <c r="R144">
        <v>1</v>
      </c>
      <c r="S144">
        <f>900000*R144*D144</f>
        <v>16200000</v>
      </c>
    </row>
    <row r="145" spans="1:19" hidden="1" x14ac:dyDescent="0.2">
      <c r="A145" t="s">
        <v>385</v>
      </c>
      <c r="B145">
        <v>219</v>
      </c>
      <c r="C145">
        <v>220</v>
      </c>
      <c r="D145">
        <v>27.5</v>
      </c>
      <c r="E145">
        <v>0.38</v>
      </c>
      <c r="F145">
        <v>11</v>
      </c>
      <c r="G145">
        <v>0.7</v>
      </c>
      <c r="H145">
        <v>5.0000000000000001E-3</v>
      </c>
      <c r="I145">
        <v>0.04</v>
      </c>
      <c r="J145">
        <v>8.3000000000000004E-2</v>
      </c>
      <c r="K145">
        <v>500</v>
      </c>
      <c r="L145">
        <v>600</v>
      </c>
      <c r="M145">
        <v>625</v>
      </c>
      <c r="N145">
        <v>0</v>
      </c>
      <c r="O145" s="4">
        <f>_xlfn.XLOOKUP(B145,[1]bus!A:A,[1]bus!K:K,"MISS")</f>
        <v>184.74306482247175</v>
      </c>
      <c r="P145" s="4">
        <f t="shared" si="3"/>
        <v>554.22919446741525</v>
      </c>
      <c r="Q145">
        <f t="shared" si="4"/>
        <v>1000</v>
      </c>
      <c r="R145">
        <v>0</v>
      </c>
      <c r="S145">
        <v>-1</v>
      </c>
    </row>
    <row r="146" spans="1:19" hidden="1" x14ac:dyDescent="0.2">
      <c r="A146" t="s">
        <v>386</v>
      </c>
      <c r="B146">
        <v>219</v>
      </c>
      <c r="C146">
        <v>220</v>
      </c>
      <c r="D146">
        <v>27.5</v>
      </c>
      <c r="E146">
        <v>0.38</v>
      </c>
      <c r="F146">
        <v>11</v>
      </c>
      <c r="G146">
        <v>0.7</v>
      </c>
      <c r="H146">
        <v>5.0000000000000001E-3</v>
      </c>
      <c r="I146">
        <v>0.04</v>
      </c>
      <c r="J146">
        <v>8.3000000000000004E-2</v>
      </c>
      <c r="K146">
        <v>500</v>
      </c>
      <c r="L146">
        <v>600</v>
      </c>
      <c r="M146">
        <v>625</v>
      </c>
      <c r="N146">
        <v>0</v>
      </c>
      <c r="O146" s="4">
        <f>_xlfn.XLOOKUP(B146,[1]bus!A:A,[1]bus!K:K,"MISS")</f>
        <v>184.74306482247175</v>
      </c>
      <c r="P146" s="4">
        <f t="shared" si="3"/>
        <v>554.22919446741525</v>
      </c>
      <c r="Q146">
        <f t="shared" si="4"/>
        <v>1000</v>
      </c>
      <c r="R146">
        <f>Q145/K145-1</f>
        <v>1</v>
      </c>
      <c r="S146">
        <f>900000*R146*D146</f>
        <v>24750000</v>
      </c>
    </row>
    <row r="147" spans="1:19" hidden="1" x14ac:dyDescent="0.2">
      <c r="A147" t="s">
        <v>387</v>
      </c>
      <c r="B147">
        <v>219</v>
      </c>
      <c r="C147">
        <v>220</v>
      </c>
      <c r="D147">
        <v>27.5</v>
      </c>
      <c r="E147">
        <v>0.38</v>
      </c>
      <c r="F147">
        <v>11</v>
      </c>
      <c r="G147">
        <v>0.7</v>
      </c>
      <c r="H147">
        <v>5.0000000000000001E-3</v>
      </c>
      <c r="I147">
        <v>0.04</v>
      </c>
      <c r="J147">
        <v>8.3000000000000004E-2</v>
      </c>
      <c r="K147">
        <v>500</v>
      </c>
      <c r="L147">
        <v>600</v>
      </c>
      <c r="M147">
        <v>625</v>
      </c>
      <c r="N147">
        <v>0</v>
      </c>
      <c r="O147" s="4">
        <f>_xlfn.XLOOKUP(B147,[1]bus!A:A,[1]bus!K:K,"MISS")</f>
        <v>184.74306482247175</v>
      </c>
      <c r="P147" s="4">
        <f t="shared" si="3"/>
        <v>554.22919446741525</v>
      </c>
      <c r="Q147">
        <f t="shared" si="4"/>
        <v>1000</v>
      </c>
      <c r="R147">
        <v>0</v>
      </c>
      <c r="S147">
        <v>-1</v>
      </c>
    </row>
    <row r="148" spans="1:19" hidden="1" x14ac:dyDescent="0.2">
      <c r="A148" t="s">
        <v>388</v>
      </c>
      <c r="B148">
        <v>219</v>
      </c>
      <c r="C148">
        <v>220</v>
      </c>
      <c r="D148">
        <v>27.5</v>
      </c>
      <c r="E148">
        <v>0.38</v>
      </c>
      <c r="F148">
        <v>11</v>
      </c>
      <c r="G148">
        <v>0.7</v>
      </c>
      <c r="H148">
        <v>5.0000000000000001E-3</v>
      </c>
      <c r="I148">
        <v>0.04</v>
      </c>
      <c r="J148">
        <v>8.3000000000000004E-2</v>
      </c>
      <c r="K148">
        <v>500</v>
      </c>
      <c r="L148">
        <v>600</v>
      </c>
      <c r="M148">
        <v>625</v>
      </c>
      <c r="N148">
        <v>0</v>
      </c>
      <c r="O148" s="4">
        <f>_xlfn.XLOOKUP(B148,[1]bus!A:A,[1]bus!K:K,"MISS")</f>
        <v>184.74306482247175</v>
      </c>
      <c r="P148" s="4">
        <f t="shared" si="3"/>
        <v>554.22919446741525</v>
      </c>
      <c r="Q148">
        <f t="shared" si="4"/>
        <v>1000</v>
      </c>
      <c r="R148">
        <f>Q147/K147-1</f>
        <v>1</v>
      </c>
      <c r="S148">
        <f>900000*R148*D148</f>
        <v>24750000</v>
      </c>
    </row>
    <row r="149" spans="1:19" hidden="1" x14ac:dyDescent="0.2">
      <c r="A149" t="s">
        <v>389</v>
      </c>
      <c r="B149">
        <v>220</v>
      </c>
      <c r="C149">
        <v>223</v>
      </c>
      <c r="D149">
        <v>15</v>
      </c>
      <c r="E149">
        <v>0.34</v>
      </c>
      <c r="F149">
        <v>11</v>
      </c>
      <c r="G149">
        <v>0.4</v>
      </c>
      <c r="H149">
        <v>3.0000000000000001E-3</v>
      </c>
      <c r="I149">
        <v>2.1999999999999999E-2</v>
      </c>
      <c r="J149">
        <v>4.5999999999999999E-2</v>
      </c>
      <c r="K149">
        <v>500</v>
      </c>
      <c r="L149">
        <v>600</v>
      </c>
      <c r="M149">
        <v>625</v>
      </c>
      <c r="N149">
        <v>0</v>
      </c>
      <c r="O149" s="4">
        <f>_xlfn.XLOOKUP(B149,[1]bus!A:A,[1]bus!K:K,"MISS")</f>
        <v>130.61393493804556</v>
      </c>
      <c r="P149" s="4">
        <f t="shared" si="3"/>
        <v>391.84180481413671</v>
      </c>
      <c r="Q149">
        <f t="shared" si="4"/>
        <v>500</v>
      </c>
      <c r="R149">
        <v>0</v>
      </c>
      <c r="S149">
        <v>-1</v>
      </c>
    </row>
    <row r="150" spans="1:19" hidden="1" x14ac:dyDescent="0.2">
      <c r="A150" t="s">
        <v>390</v>
      </c>
      <c r="B150">
        <v>220</v>
      </c>
      <c r="C150">
        <v>223</v>
      </c>
      <c r="D150">
        <v>15</v>
      </c>
      <c r="E150">
        <v>0.34</v>
      </c>
      <c r="F150">
        <v>11</v>
      </c>
      <c r="G150">
        <v>0.4</v>
      </c>
      <c r="H150">
        <v>3.0000000000000001E-3</v>
      </c>
      <c r="I150">
        <v>2.1999999999999999E-2</v>
      </c>
      <c r="J150">
        <v>4.5999999999999999E-2</v>
      </c>
      <c r="K150">
        <v>500</v>
      </c>
      <c r="L150">
        <v>600</v>
      </c>
      <c r="M150">
        <v>625</v>
      </c>
      <c r="N150">
        <v>0</v>
      </c>
      <c r="O150" s="4">
        <f>_xlfn.XLOOKUP(B150,[1]bus!A:A,[1]bus!K:K,"MISS")</f>
        <v>130.61393493804556</v>
      </c>
      <c r="P150" s="4">
        <f t="shared" si="3"/>
        <v>391.84180481413671</v>
      </c>
      <c r="Q150">
        <f t="shared" si="4"/>
        <v>500</v>
      </c>
      <c r="R150">
        <f>Q149/K149-1</f>
        <v>0</v>
      </c>
      <c r="S150">
        <v>-1</v>
      </c>
    </row>
    <row r="151" spans="1:19" hidden="1" x14ac:dyDescent="0.2">
      <c r="A151" t="s">
        <v>391</v>
      </c>
      <c r="B151">
        <v>221</v>
      </c>
      <c r="C151">
        <v>222</v>
      </c>
      <c r="D151">
        <v>47</v>
      </c>
      <c r="E151">
        <v>0.45</v>
      </c>
      <c r="F151">
        <v>11</v>
      </c>
      <c r="G151">
        <v>1.2</v>
      </c>
      <c r="H151">
        <v>8.9999999999999993E-3</v>
      </c>
      <c r="I151">
        <v>6.8000000000000005E-2</v>
      </c>
      <c r="J151">
        <v>0.14199999999999999</v>
      </c>
      <c r="K151">
        <v>500</v>
      </c>
      <c r="L151">
        <v>600</v>
      </c>
      <c r="M151">
        <v>625</v>
      </c>
      <c r="N151">
        <v>0</v>
      </c>
      <c r="O151" s="4">
        <f>_xlfn.XLOOKUP(B151,[1]bus!A:A,[1]bus!K:K,"MISS")</f>
        <v>0</v>
      </c>
      <c r="P151" s="4">
        <f t="shared" si="3"/>
        <v>0</v>
      </c>
      <c r="Q151">
        <f t="shared" si="4"/>
        <v>500</v>
      </c>
      <c r="R151">
        <f>Q150/K150-1</f>
        <v>0</v>
      </c>
      <c r="S151">
        <v>-1</v>
      </c>
    </row>
    <row r="152" spans="1:19" hidden="1" x14ac:dyDescent="0.2">
      <c r="A152" t="s">
        <v>392</v>
      </c>
      <c r="B152">
        <v>301</v>
      </c>
      <c r="C152">
        <v>302</v>
      </c>
      <c r="D152">
        <v>3</v>
      </c>
      <c r="E152">
        <v>0.24</v>
      </c>
      <c r="F152">
        <v>16</v>
      </c>
      <c r="G152">
        <v>0</v>
      </c>
      <c r="H152">
        <v>3.0000000000000001E-3</v>
      </c>
      <c r="I152">
        <v>1.4E-2</v>
      </c>
      <c r="J152">
        <v>0.46100000000000002</v>
      </c>
      <c r="K152">
        <v>175</v>
      </c>
      <c r="L152">
        <v>193</v>
      </c>
      <c r="M152">
        <v>200</v>
      </c>
      <c r="N152">
        <v>0</v>
      </c>
      <c r="O152" s="4">
        <f>_xlfn.XLOOKUP(B152,[1]bus!A:A,[1]bus!K:K,"MISS")</f>
        <v>110.21796586763884</v>
      </c>
      <c r="P152" s="4">
        <f t="shared" si="3"/>
        <v>330.65389760291652</v>
      </c>
      <c r="Q152">
        <f t="shared" si="4"/>
        <v>350</v>
      </c>
      <c r="R152">
        <f>Q151/K151-1</f>
        <v>0</v>
      </c>
      <c r="S152">
        <v>-1</v>
      </c>
    </row>
    <row r="153" spans="1:19" x14ac:dyDescent="0.2">
      <c r="A153" t="s">
        <v>393</v>
      </c>
      <c r="B153">
        <v>301</v>
      </c>
      <c r="C153">
        <v>302</v>
      </c>
      <c r="D153">
        <v>3</v>
      </c>
      <c r="E153">
        <v>0.24</v>
      </c>
      <c r="F153">
        <v>16</v>
      </c>
      <c r="G153">
        <v>0</v>
      </c>
      <c r="H153">
        <v>3.0000000000000001E-3</v>
      </c>
      <c r="I153">
        <v>1.4E-2</v>
      </c>
      <c r="J153">
        <v>0.46100000000000002</v>
      </c>
      <c r="K153">
        <v>175</v>
      </c>
      <c r="L153">
        <v>193</v>
      </c>
      <c r="M153">
        <v>200</v>
      </c>
      <c r="N153">
        <v>0</v>
      </c>
      <c r="O153" s="4">
        <f>_xlfn.XLOOKUP(B153,[1]bus!A:A,[1]bus!K:K,"MISS")</f>
        <v>110.21796586763884</v>
      </c>
      <c r="P153" s="4">
        <f t="shared" si="3"/>
        <v>330.65389760291652</v>
      </c>
      <c r="Q153">
        <f t="shared" si="4"/>
        <v>350</v>
      </c>
      <c r="R153">
        <f>Q152/K152-1</f>
        <v>1</v>
      </c>
      <c r="S153">
        <f>400000*R153*D153</f>
        <v>1200000</v>
      </c>
    </row>
    <row r="154" spans="1:19" hidden="1" x14ac:dyDescent="0.2">
      <c r="A154" t="s">
        <v>394</v>
      </c>
      <c r="B154">
        <v>301</v>
      </c>
      <c r="C154">
        <v>303</v>
      </c>
      <c r="D154">
        <v>55</v>
      </c>
      <c r="E154">
        <v>0.51</v>
      </c>
      <c r="F154">
        <v>10</v>
      </c>
      <c r="G154">
        <v>2.9</v>
      </c>
      <c r="H154">
        <v>5.5E-2</v>
      </c>
      <c r="I154">
        <v>0.21099999999999999</v>
      </c>
      <c r="J154">
        <v>5.7000000000000002E-2</v>
      </c>
      <c r="K154">
        <v>175</v>
      </c>
      <c r="L154">
        <v>208</v>
      </c>
      <c r="M154">
        <v>220</v>
      </c>
      <c r="N154">
        <v>0</v>
      </c>
      <c r="O154" s="4">
        <f>_xlfn.XLOOKUP(B154,[1]bus!A:A,[1]bus!K:K,"MISS")</f>
        <v>110.21796586763884</v>
      </c>
      <c r="P154" s="4">
        <f t="shared" si="3"/>
        <v>330.65389760291652</v>
      </c>
      <c r="Q154">
        <f t="shared" si="4"/>
        <v>350</v>
      </c>
      <c r="R154">
        <v>0</v>
      </c>
      <c r="S154">
        <v>-1</v>
      </c>
    </row>
    <row r="155" spans="1:19" x14ac:dyDescent="0.2">
      <c r="A155" t="s">
        <v>395</v>
      </c>
      <c r="B155">
        <v>301</v>
      </c>
      <c r="C155">
        <v>303</v>
      </c>
      <c r="D155">
        <v>55</v>
      </c>
      <c r="E155">
        <v>0.51</v>
      </c>
      <c r="F155">
        <v>10</v>
      </c>
      <c r="G155">
        <v>2.9</v>
      </c>
      <c r="H155">
        <v>5.5E-2</v>
      </c>
      <c r="I155">
        <v>0.21099999999999999</v>
      </c>
      <c r="J155">
        <v>5.7000000000000002E-2</v>
      </c>
      <c r="K155">
        <v>175</v>
      </c>
      <c r="L155">
        <v>208</v>
      </c>
      <c r="M155">
        <v>220</v>
      </c>
      <c r="N155">
        <v>0</v>
      </c>
      <c r="O155" s="4">
        <f>_xlfn.XLOOKUP(B155,[1]bus!A:A,[1]bus!K:K,"MISS")</f>
        <v>110.21796586763884</v>
      </c>
      <c r="P155" s="4">
        <f t="shared" si="3"/>
        <v>330.65389760291652</v>
      </c>
      <c r="Q155">
        <f t="shared" si="4"/>
        <v>350</v>
      </c>
      <c r="R155">
        <f>Q154/K154-1</f>
        <v>1</v>
      </c>
      <c r="S155">
        <f>400000*R155*D155</f>
        <v>22000000</v>
      </c>
    </row>
    <row r="156" spans="1:19" hidden="1" x14ac:dyDescent="0.2">
      <c r="A156" t="s">
        <v>396</v>
      </c>
      <c r="B156">
        <v>301</v>
      </c>
      <c r="C156">
        <v>305</v>
      </c>
      <c r="D156">
        <v>22</v>
      </c>
      <c r="E156">
        <v>0.33</v>
      </c>
      <c r="F156">
        <v>10</v>
      </c>
      <c r="G156">
        <v>1.2</v>
      </c>
      <c r="H156">
        <v>2.1999999999999999E-2</v>
      </c>
      <c r="I156">
        <v>8.5000000000000006E-2</v>
      </c>
      <c r="J156">
        <v>2.3E-2</v>
      </c>
      <c r="K156">
        <v>175</v>
      </c>
      <c r="L156">
        <v>208</v>
      </c>
      <c r="M156">
        <v>220</v>
      </c>
      <c r="N156">
        <v>0</v>
      </c>
      <c r="O156" s="4">
        <f>_xlfn.XLOOKUP(B156,[1]bus!A:A,[1]bus!K:K,"MISS")</f>
        <v>110.21796586763884</v>
      </c>
      <c r="P156" s="4">
        <f t="shared" si="3"/>
        <v>330.65389760291652</v>
      </c>
      <c r="Q156">
        <f t="shared" si="4"/>
        <v>350</v>
      </c>
      <c r="R156">
        <v>0</v>
      </c>
      <c r="S156">
        <v>-1</v>
      </c>
    </row>
    <row r="157" spans="1:19" x14ac:dyDescent="0.2">
      <c r="A157" t="s">
        <v>397</v>
      </c>
      <c r="B157">
        <v>301</v>
      </c>
      <c r="C157">
        <v>305</v>
      </c>
      <c r="D157">
        <v>22</v>
      </c>
      <c r="E157">
        <v>0.33</v>
      </c>
      <c r="F157">
        <v>10</v>
      </c>
      <c r="G157">
        <v>1.2</v>
      </c>
      <c r="H157">
        <v>2.1999999999999999E-2</v>
      </c>
      <c r="I157">
        <v>8.5000000000000006E-2</v>
      </c>
      <c r="J157">
        <v>2.3E-2</v>
      </c>
      <c r="K157">
        <v>175</v>
      </c>
      <c r="L157">
        <v>208</v>
      </c>
      <c r="M157">
        <v>220</v>
      </c>
      <c r="N157">
        <v>0</v>
      </c>
      <c r="O157" s="4">
        <f>_xlfn.XLOOKUP(B157,[1]bus!A:A,[1]bus!K:K,"MISS")</f>
        <v>110.21796586763884</v>
      </c>
      <c r="P157" s="4">
        <f t="shared" si="3"/>
        <v>330.65389760291652</v>
      </c>
      <c r="Q157">
        <f t="shared" si="4"/>
        <v>350</v>
      </c>
      <c r="R157">
        <f>Q156/K156-1</f>
        <v>1</v>
      </c>
      <c r="S157">
        <f>400000*R157*D157</f>
        <v>8800000</v>
      </c>
    </row>
    <row r="158" spans="1:19" hidden="1" x14ac:dyDescent="0.2">
      <c r="A158" t="s">
        <v>398</v>
      </c>
      <c r="B158">
        <v>302</v>
      </c>
      <c r="C158">
        <v>304</v>
      </c>
      <c r="D158">
        <v>33</v>
      </c>
      <c r="E158">
        <v>0.39</v>
      </c>
      <c r="F158">
        <v>10</v>
      </c>
      <c r="G158">
        <v>1.7</v>
      </c>
      <c r="H158">
        <v>3.3000000000000002E-2</v>
      </c>
      <c r="I158">
        <v>0.127</v>
      </c>
      <c r="J158">
        <v>3.4000000000000002E-2</v>
      </c>
      <c r="K158">
        <v>175</v>
      </c>
      <c r="L158">
        <v>208</v>
      </c>
      <c r="M158">
        <v>220</v>
      </c>
      <c r="N158">
        <v>0</v>
      </c>
      <c r="O158" s="4">
        <f>_xlfn.XLOOKUP(B158,[1]bus!A:A,[1]bus!K:K,"MISS")</f>
        <v>99.040395798886024</v>
      </c>
      <c r="P158" s="4">
        <f t="shared" si="3"/>
        <v>297.12118739665806</v>
      </c>
      <c r="Q158">
        <f t="shared" si="4"/>
        <v>350</v>
      </c>
      <c r="R158">
        <v>0</v>
      </c>
      <c r="S158">
        <v>-1</v>
      </c>
    </row>
    <row r="159" spans="1:19" x14ac:dyDescent="0.2">
      <c r="A159" t="s">
        <v>399</v>
      </c>
      <c r="B159">
        <v>302</v>
      </c>
      <c r="C159">
        <v>304</v>
      </c>
      <c r="D159">
        <v>33</v>
      </c>
      <c r="E159">
        <v>0.39</v>
      </c>
      <c r="F159">
        <v>10</v>
      </c>
      <c r="G159">
        <v>1.7</v>
      </c>
      <c r="H159">
        <v>3.3000000000000002E-2</v>
      </c>
      <c r="I159">
        <v>0.127</v>
      </c>
      <c r="J159">
        <v>3.4000000000000002E-2</v>
      </c>
      <c r="K159">
        <v>175</v>
      </c>
      <c r="L159">
        <v>208</v>
      </c>
      <c r="M159">
        <v>220</v>
      </c>
      <c r="N159">
        <v>0</v>
      </c>
      <c r="O159" s="4">
        <f>_xlfn.XLOOKUP(B159,[1]bus!A:A,[1]bus!K:K,"MISS")</f>
        <v>99.040395798886024</v>
      </c>
      <c r="P159" s="4">
        <f t="shared" si="3"/>
        <v>297.12118739665806</v>
      </c>
      <c r="Q159">
        <f t="shared" si="4"/>
        <v>350</v>
      </c>
      <c r="R159">
        <f>Q158/K158-1</f>
        <v>1</v>
      </c>
      <c r="S159">
        <f>400000*R159*D159</f>
        <v>13200000</v>
      </c>
    </row>
    <row r="160" spans="1:19" hidden="1" x14ac:dyDescent="0.2">
      <c r="A160" t="s">
        <v>400</v>
      </c>
      <c r="B160">
        <v>302</v>
      </c>
      <c r="C160">
        <v>306</v>
      </c>
      <c r="D160">
        <v>50</v>
      </c>
      <c r="E160">
        <v>0.48</v>
      </c>
      <c r="F160">
        <v>10</v>
      </c>
      <c r="G160">
        <v>2.6</v>
      </c>
      <c r="H160">
        <v>0.05</v>
      </c>
      <c r="I160">
        <v>0.192</v>
      </c>
      <c r="J160">
        <v>5.1999999999999998E-2</v>
      </c>
      <c r="K160">
        <v>175</v>
      </c>
      <c r="L160">
        <v>208</v>
      </c>
      <c r="M160">
        <v>220</v>
      </c>
      <c r="N160">
        <v>0</v>
      </c>
      <c r="O160" s="4">
        <f>_xlfn.XLOOKUP(B160,[1]bus!A:A,[1]bus!K:K,"MISS")</f>
        <v>99.040395798886024</v>
      </c>
      <c r="P160" s="4">
        <f t="shared" si="3"/>
        <v>297.12118739665806</v>
      </c>
      <c r="Q160">
        <f t="shared" si="4"/>
        <v>350</v>
      </c>
      <c r="R160">
        <v>0</v>
      </c>
      <c r="S160">
        <v>-1</v>
      </c>
    </row>
    <row r="161" spans="1:19" x14ac:dyDescent="0.2">
      <c r="A161" t="s">
        <v>401</v>
      </c>
      <c r="B161">
        <v>302</v>
      </c>
      <c r="C161">
        <v>306</v>
      </c>
      <c r="D161">
        <v>50</v>
      </c>
      <c r="E161">
        <v>0.48</v>
      </c>
      <c r="F161">
        <v>10</v>
      </c>
      <c r="G161">
        <v>2.6</v>
      </c>
      <c r="H161">
        <v>0.05</v>
      </c>
      <c r="I161">
        <v>0.192</v>
      </c>
      <c r="J161">
        <v>5.1999999999999998E-2</v>
      </c>
      <c r="K161">
        <v>175</v>
      </c>
      <c r="L161">
        <v>208</v>
      </c>
      <c r="M161">
        <v>220</v>
      </c>
      <c r="N161">
        <v>0</v>
      </c>
      <c r="O161" s="4">
        <f>_xlfn.XLOOKUP(B161,[1]bus!A:A,[1]bus!K:K,"MISS")</f>
        <v>99.040395798886024</v>
      </c>
      <c r="P161" s="4">
        <f t="shared" si="3"/>
        <v>297.12118739665806</v>
      </c>
      <c r="Q161">
        <f t="shared" si="4"/>
        <v>350</v>
      </c>
      <c r="R161">
        <f>Q160/K160-1</f>
        <v>1</v>
      </c>
      <c r="S161">
        <f>400000*R161*D161</f>
        <v>20000000</v>
      </c>
    </row>
    <row r="162" spans="1:19" hidden="1" x14ac:dyDescent="0.2">
      <c r="A162" t="s">
        <v>402</v>
      </c>
      <c r="B162">
        <v>303</v>
      </c>
      <c r="C162">
        <v>309</v>
      </c>
      <c r="D162">
        <v>31</v>
      </c>
      <c r="E162">
        <v>0.38</v>
      </c>
      <c r="F162">
        <v>10</v>
      </c>
      <c r="G162">
        <v>1.6</v>
      </c>
      <c r="H162">
        <v>3.1E-2</v>
      </c>
      <c r="I162">
        <v>0.11899999999999999</v>
      </c>
      <c r="J162">
        <v>3.2000000000000001E-2</v>
      </c>
      <c r="K162">
        <v>175</v>
      </c>
      <c r="L162">
        <v>208</v>
      </c>
      <c r="M162">
        <v>220</v>
      </c>
      <c r="N162">
        <v>0</v>
      </c>
      <c r="O162" s="4">
        <f>_xlfn.XLOOKUP(B162,[1]bus!A:A,[1]bus!K:K,"MISS")</f>
        <v>183.76343488300387</v>
      </c>
      <c r="P162" s="4">
        <f t="shared" si="3"/>
        <v>551.29030464901166</v>
      </c>
      <c r="Q162">
        <f t="shared" si="4"/>
        <v>525</v>
      </c>
      <c r="R162">
        <v>0</v>
      </c>
      <c r="S162">
        <v>-1</v>
      </c>
    </row>
    <row r="163" spans="1:19" x14ac:dyDescent="0.2">
      <c r="A163" t="s">
        <v>403</v>
      </c>
      <c r="B163">
        <v>303</v>
      </c>
      <c r="C163">
        <v>309</v>
      </c>
      <c r="D163">
        <v>31</v>
      </c>
      <c r="E163">
        <v>0.38</v>
      </c>
      <c r="F163">
        <v>10</v>
      </c>
      <c r="G163">
        <v>1.6</v>
      </c>
      <c r="H163">
        <v>3.1E-2</v>
      </c>
      <c r="I163">
        <v>0.11899999999999999</v>
      </c>
      <c r="J163">
        <v>3.2000000000000001E-2</v>
      </c>
      <c r="K163">
        <v>175</v>
      </c>
      <c r="L163">
        <v>208</v>
      </c>
      <c r="M163">
        <v>220</v>
      </c>
      <c r="N163">
        <v>0</v>
      </c>
      <c r="O163" s="4">
        <f>_xlfn.XLOOKUP(B163,[1]bus!A:A,[1]bus!K:K,"MISS")</f>
        <v>183.76343488300387</v>
      </c>
      <c r="P163" s="4">
        <f t="shared" si="3"/>
        <v>551.29030464901166</v>
      </c>
      <c r="Q163">
        <f t="shared" si="4"/>
        <v>525</v>
      </c>
      <c r="R163">
        <v>1</v>
      </c>
      <c r="S163">
        <f>400000*R163*D163</f>
        <v>12400000</v>
      </c>
    </row>
    <row r="164" spans="1:19" x14ac:dyDescent="0.2">
      <c r="A164" t="s">
        <v>404</v>
      </c>
      <c r="B164">
        <v>303</v>
      </c>
      <c r="C164">
        <v>309</v>
      </c>
      <c r="D164">
        <v>31</v>
      </c>
      <c r="E164">
        <v>0.38</v>
      </c>
      <c r="F164">
        <v>10</v>
      </c>
      <c r="G164">
        <v>1.6</v>
      </c>
      <c r="H164">
        <v>3.1E-2</v>
      </c>
      <c r="I164">
        <v>0.11899999999999999</v>
      </c>
      <c r="J164">
        <v>3.2000000000000001E-2</v>
      </c>
      <c r="K164">
        <v>175</v>
      </c>
      <c r="L164">
        <v>208</v>
      </c>
      <c r="M164">
        <v>220</v>
      </c>
      <c r="N164">
        <v>0</v>
      </c>
      <c r="O164" s="4">
        <f>_xlfn.XLOOKUP(B164,[1]bus!A:A,[1]bus!K:K,"MISS")</f>
        <v>183.76343488300387</v>
      </c>
      <c r="P164" s="4">
        <f t="shared" si="3"/>
        <v>551.29030464901166</v>
      </c>
      <c r="Q164">
        <f t="shared" si="4"/>
        <v>525</v>
      </c>
      <c r="R164">
        <v>1</v>
      </c>
      <c r="S164">
        <f>400000*R164*D164</f>
        <v>12400000</v>
      </c>
    </row>
    <row r="165" spans="1:19" hidden="1" x14ac:dyDescent="0.2">
      <c r="A165" t="s">
        <v>405</v>
      </c>
      <c r="B165">
        <v>303</v>
      </c>
      <c r="C165">
        <v>324</v>
      </c>
      <c r="D165">
        <v>0</v>
      </c>
      <c r="E165">
        <v>0.02</v>
      </c>
      <c r="F165">
        <v>768</v>
      </c>
      <c r="G165">
        <v>0</v>
      </c>
      <c r="H165">
        <v>2E-3</v>
      </c>
      <c r="I165">
        <v>8.4000000000000005E-2</v>
      </c>
      <c r="J165">
        <v>0</v>
      </c>
      <c r="K165">
        <v>400</v>
      </c>
      <c r="L165">
        <v>510</v>
      </c>
      <c r="M165">
        <v>600</v>
      </c>
      <c r="N165">
        <v>1.0149999999999999</v>
      </c>
      <c r="O165" s="4">
        <f>_xlfn.XLOOKUP(B165,[1]bus!A:A,[1]bus!K:K,"MISS")</f>
        <v>183.76343488300387</v>
      </c>
      <c r="P165" s="4">
        <f t="shared" si="3"/>
        <v>551.29030464901166</v>
      </c>
      <c r="Q165">
        <f t="shared" si="4"/>
        <v>800</v>
      </c>
      <c r="R165">
        <v>0</v>
      </c>
      <c r="S165">
        <v>-1</v>
      </c>
    </row>
    <row r="166" spans="1:19" x14ac:dyDescent="0.2">
      <c r="A166" t="s">
        <v>406</v>
      </c>
      <c r="B166">
        <v>303</v>
      </c>
      <c r="C166">
        <v>324</v>
      </c>
      <c r="D166">
        <v>0</v>
      </c>
      <c r="E166">
        <v>0.02</v>
      </c>
      <c r="F166">
        <v>768</v>
      </c>
      <c r="G166">
        <v>0</v>
      </c>
      <c r="H166">
        <v>2E-3</v>
      </c>
      <c r="I166">
        <v>8.4000000000000005E-2</v>
      </c>
      <c r="J166">
        <v>0</v>
      </c>
      <c r="K166">
        <v>400</v>
      </c>
      <c r="L166">
        <v>510</v>
      </c>
      <c r="M166">
        <v>600</v>
      </c>
      <c r="N166">
        <v>1.0149999999999999</v>
      </c>
      <c r="O166" s="4">
        <f>_xlfn.XLOOKUP(B166,[1]bus!A:A,[1]bus!K:K,"MISS")</f>
        <v>183.76343488300387</v>
      </c>
      <c r="P166" s="4">
        <f t="shared" si="3"/>
        <v>551.29030464901166</v>
      </c>
      <c r="Q166">
        <f t="shared" si="4"/>
        <v>800</v>
      </c>
      <c r="R166">
        <f>Q165/K165-1</f>
        <v>1</v>
      </c>
      <c r="S166">
        <f>900000*R166*D166</f>
        <v>0</v>
      </c>
    </row>
    <row r="167" spans="1:19" hidden="1" x14ac:dyDescent="0.2">
      <c r="A167" t="s">
        <v>407</v>
      </c>
      <c r="B167">
        <v>304</v>
      </c>
      <c r="C167">
        <v>309</v>
      </c>
      <c r="D167">
        <v>27</v>
      </c>
      <c r="E167">
        <v>0.36</v>
      </c>
      <c r="F167">
        <v>10</v>
      </c>
      <c r="G167">
        <v>1.4</v>
      </c>
      <c r="H167">
        <v>2.7E-2</v>
      </c>
      <c r="I167">
        <v>0.104</v>
      </c>
      <c r="J167">
        <v>2.8000000000000001E-2</v>
      </c>
      <c r="K167">
        <v>175</v>
      </c>
      <c r="L167">
        <v>208</v>
      </c>
      <c r="M167">
        <v>220</v>
      </c>
      <c r="N167">
        <v>0</v>
      </c>
      <c r="O167" s="4">
        <f>_xlfn.XLOOKUP(B167,[1]bus!A:A,[1]bus!K:K,"MISS")</f>
        <v>75.504966724050675</v>
      </c>
      <c r="P167" s="4">
        <f t="shared" si="3"/>
        <v>226.51490017215201</v>
      </c>
      <c r="Q167">
        <f t="shared" si="4"/>
        <v>350</v>
      </c>
      <c r="R167">
        <v>0</v>
      </c>
      <c r="S167">
        <v>-1</v>
      </c>
    </row>
    <row r="168" spans="1:19" x14ac:dyDescent="0.2">
      <c r="A168" t="s">
        <v>408</v>
      </c>
      <c r="B168">
        <v>304</v>
      </c>
      <c r="C168">
        <v>309</v>
      </c>
      <c r="D168">
        <v>27</v>
      </c>
      <c r="E168">
        <v>0.36</v>
      </c>
      <c r="F168">
        <v>10</v>
      </c>
      <c r="G168">
        <v>1.4</v>
      </c>
      <c r="H168">
        <v>2.7E-2</v>
      </c>
      <c r="I168">
        <v>0.104</v>
      </c>
      <c r="J168">
        <v>2.8000000000000001E-2</v>
      </c>
      <c r="K168">
        <v>175</v>
      </c>
      <c r="L168">
        <v>208</v>
      </c>
      <c r="M168">
        <v>220</v>
      </c>
      <c r="N168">
        <v>0</v>
      </c>
      <c r="O168" s="4">
        <f>_xlfn.XLOOKUP(B168,[1]bus!A:A,[1]bus!K:K,"MISS")</f>
        <v>75.504966724050675</v>
      </c>
      <c r="P168" s="4">
        <f t="shared" si="3"/>
        <v>226.51490017215201</v>
      </c>
      <c r="Q168">
        <f t="shared" si="4"/>
        <v>350</v>
      </c>
      <c r="R168">
        <f>Q167/K167-1</f>
        <v>1</v>
      </c>
      <c r="S168">
        <f>400000*R168*D168</f>
        <v>10800000</v>
      </c>
    </row>
    <row r="169" spans="1:19" hidden="1" x14ac:dyDescent="0.2">
      <c r="A169" t="s">
        <v>409</v>
      </c>
      <c r="B169">
        <v>305</v>
      </c>
      <c r="C169">
        <v>310</v>
      </c>
      <c r="D169">
        <v>23</v>
      </c>
      <c r="E169">
        <v>0.34</v>
      </c>
      <c r="F169">
        <v>10</v>
      </c>
      <c r="G169">
        <v>1.2</v>
      </c>
      <c r="H169">
        <v>2.3E-2</v>
      </c>
      <c r="I169">
        <v>8.7999999999999995E-2</v>
      </c>
      <c r="J169">
        <v>2.4E-2</v>
      </c>
      <c r="K169">
        <v>175</v>
      </c>
      <c r="L169">
        <v>208</v>
      </c>
      <c r="M169">
        <v>220</v>
      </c>
      <c r="N169">
        <v>0</v>
      </c>
      <c r="O169" s="4">
        <f>_xlfn.XLOOKUP(B169,[1]bus!A:A,[1]bus!K:K,"MISS")</f>
        <v>72.367119605522504</v>
      </c>
      <c r="P169" s="4">
        <f t="shared" si="3"/>
        <v>217.10135881656751</v>
      </c>
      <c r="Q169">
        <f t="shared" si="4"/>
        <v>350</v>
      </c>
      <c r="R169">
        <v>0</v>
      </c>
      <c r="S169">
        <v>-1</v>
      </c>
    </row>
    <row r="170" spans="1:19" x14ac:dyDescent="0.2">
      <c r="A170" t="s">
        <v>410</v>
      </c>
      <c r="B170">
        <v>305</v>
      </c>
      <c r="C170">
        <v>310</v>
      </c>
      <c r="D170">
        <v>23</v>
      </c>
      <c r="E170">
        <v>0.34</v>
      </c>
      <c r="F170">
        <v>10</v>
      </c>
      <c r="G170">
        <v>1.2</v>
      </c>
      <c r="H170">
        <v>2.3E-2</v>
      </c>
      <c r="I170">
        <v>8.7999999999999995E-2</v>
      </c>
      <c r="J170">
        <v>2.4E-2</v>
      </c>
      <c r="K170">
        <v>175</v>
      </c>
      <c r="L170">
        <v>208</v>
      </c>
      <c r="M170">
        <v>220</v>
      </c>
      <c r="N170">
        <v>0</v>
      </c>
      <c r="O170" s="4">
        <f>_xlfn.XLOOKUP(B170,[1]bus!A:A,[1]bus!K:K,"MISS")</f>
        <v>72.367119605522504</v>
      </c>
      <c r="P170" s="4">
        <f t="shared" si="3"/>
        <v>217.10135881656751</v>
      </c>
      <c r="Q170">
        <f t="shared" si="4"/>
        <v>350</v>
      </c>
      <c r="R170">
        <f>Q169/K169-1</f>
        <v>1</v>
      </c>
      <c r="S170">
        <f>400000*R170*D170</f>
        <v>9200000</v>
      </c>
    </row>
    <row r="171" spans="1:19" hidden="1" x14ac:dyDescent="0.2">
      <c r="A171" t="s">
        <v>411</v>
      </c>
      <c r="B171">
        <v>306</v>
      </c>
      <c r="C171">
        <v>310</v>
      </c>
      <c r="D171">
        <v>16</v>
      </c>
      <c r="E171">
        <v>0.33</v>
      </c>
      <c r="F171">
        <v>35</v>
      </c>
      <c r="G171">
        <v>0</v>
      </c>
      <c r="H171">
        <v>1.4E-2</v>
      </c>
      <c r="I171">
        <v>6.0999999999999999E-2</v>
      </c>
      <c r="J171">
        <v>2.4590000000000001</v>
      </c>
      <c r="K171">
        <v>175</v>
      </c>
      <c r="L171">
        <v>193</v>
      </c>
      <c r="M171">
        <v>200</v>
      </c>
      <c r="N171">
        <v>0</v>
      </c>
      <c r="O171" s="4">
        <f>_xlfn.XLOOKUP(B171,[1]bus!A:A,[1]bus!K:K,"MISS")</f>
        <v>138.85243966167826</v>
      </c>
      <c r="P171" s="4">
        <f t="shared" si="3"/>
        <v>416.55731898503478</v>
      </c>
      <c r="Q171">
        <f t="shared" si="4"/>
        <v>525</v>
      </c>
      <c r="R171">
        <v>0</v>
      </c>
      <c r="S171">
        <v>-1</v>
      </c>
    </row>
    <row r="172" spans="1:19" x14ac:dyDescent="0.2">
      <c r="A172" t="s">
        <v>412</v>
      </c>
      <c r="B172">
        <v>306</v>
      </c>
      <c r="C172">
        <v>310</v>
      </c>
      <c r="D172">
        <v>16</v>
      </c>
      <c r="E172">
        <v>0.33</v>
      </c>
      <c r="F172">
        <v>35</v>
      </c>
      <c r="G172">
        <v>0</v>
      </c>
      <c r="H172">
        <v>1.4E-2</v>
      </c>
      <c r="I172">
        <v>6.0999999999999999E-2</v>
      </c>
      <c r="J172">
        <v>2.4590000000000001</v>
      </c>
      <c r="K172">
        <v>175</v>
      </c>
      <c r="L172">
        <v>193</v>
      </c>
      <c r="M172">
        <v>200</v>
      </c>
      <c r="N172">
        <v>0</v>
      </c>
      <c r="O172" s="4">
        <f>_xlfn.XLOOKUP(B172,[1]bus!A:A,[1]bus!K:K,"MISS")</f>
        <v>138.85243966167826</v>
      </c>
      <c r="P172" s="4">
        <f t="shared" si="3"/>
        <v>416.55731898503478</v>
      </c>
      <c r="Q172">
        <f t="shared" si="4"/>
        <v>525</v>
      </c>
      <c r="R172">
        <v>1</v>
      </c>
      <c r="S172">
        <f>400000*R172*D172</f>
        <v>6400000</v>
      </c>
    </row>
    <row r="173" spans="1:19" x14ac:dyDescent="0.2">
      <c r="A173" t="s">
        <v>413</v>
      </c>
      <c r="B173">
        <v>306</v>
      </c>
      <c r="C173">
        <v>310</v>
      </c>
      <c r="D173">
        <v>16</v>
      </c>
      <c r="E173">
        <v>0.33</v>
      </c>
      <c r="F173">
        <v>35</v>
      </c>
      <c r="G173">
        <v>0</v>
      </c>
      <c r="H173">
        <v>1.4E-2</v>
      </c>
      <c r="I173">
        <v>6.0999999999999999E-2</v>
      </c>
      <c r="J173">
        <v>2.4590000000000001</v>
      </c>
      <c r="K173">
        <v>175</v>
      </c>
      <c r="L173">
        <v>193</v>
      </c>
      <c r="M173">
        <v>200</v>
      </c>
      <c r="N173">
        <v>0</v>
      </c>
      <c r="O173" s="4">
        <f>_xlfn.XLOOKUP(B173,[1]bus!A:A,[1]bus!K:K,"MISS")</f>
        <v>138.85243966167826</v>
      </c>
      <c r="P173" s="4">
        <f t="shared" si="3"/>
        <v>416.55731898503478</v>
      </c>
      <c r="Q173">
        <f t="shared" si="4"/>
        <v>525</v>
      </c>
      <c r="R173">
        <v>1</v>
      </c>
      <c r="S173">
        <f>400000*R173*D173</f>
        <v>6400000</v>
      </c>
    </row>
    <row r="174" spans="1:19" hidden="1" x14ac:dyDescent="0.2">
      <c r="A174" t="s">
        <v>414</v>
      </c>
      <c r="B174">
        <v>307</v>
      </c>
      <c r="C174">
        <v>308</v>
      </c>
      <c r="D174">
        <v>16</v>
      </c>
      <c r="E174">
        <v>0.3</v>
      </c>
      <c r="F174">
        <v>10</v>
      </c>
      <c r="G174">
        <v>0.8</v>
      </c>
      <c r="H174">
        <v>1.6E-2</v>
      </c>
      <c r="I174">
        <v>6.0999999999999999E-2</v>
      </c>
      <c r="J174">
        <v>1.7000000000000001E-2</v>
      </c>
      <c r="K174">
        <v>175</v>
      </c>
      <c r="L174">
        <v>208</v>
      </c>
      <c r="M174">
        <v>220</v>
      </c>
      <c r="N174">
        <v>0</v>
      </c>
      <c r="O174" s="4">
        <f>_xlfn.XLOOKUP(B174,[1]bus!A:A,[1]bus!K:K,"MISS")</f>
        <v>127.47548783981962</v>
      </c>
      <c r="P174" s="4">
        <f t="shared" si="3"/>
        <v>382.42646351945888</v>
      </c>
      <c r="Q174">
        <f t="shared" si="4"/>
        <v>525</v>
      </c>
      <c r="R174">
        <v>0</v>
      </c>
      <c r="S174">
        <v>-1</v>
      </c>
    </row>
    <row r="175" spans="1:19" x14ac:dyDescent="0.2">
      <c r="A175" t="s">
        <v>415</v>
      </c>
      <c r="B175">
        <v>307</v>
      </c>
      <c r="C175">
        <v>308</v>
      </c>
      <c r="D175">
        <v>16</v>
      </c>
      <c r="E175">
        <v>0.3</v>
      </c>
      <c r="F175">
        <v>10</v>
      </c>
      <c r="G175">
        <v>0.8</v>
      </c>
      <c r="H175">
        <v>1.6E-2</v>
      </c>
      <c r="I175">
        <v>6.0999999999999999E-2</v>
      </c>
      <c r="J175">
        <v>1.7000000000000001E-2</v>
      </c>
      <c r="K175">
        <v>175</v>
      </c>
      <c r="L175">
        <v>208</v>
      </c>
      <c r="M175">
        <v>220</v>
      </c>
      <c r="N175">
        <v>0</v>
      </c>
      <c r="O175" s="4">
        <f>_xlfn.XLOOKUP(B175,[1]bus!A:A,[1]bus!K:K,"MISS")</f>
        <v>127.47548783981962</v>
      </c>
      <c r="P175" s="4">
        <f t="shared" si="3"/>
        <v>382.42646351945888</v>
      </c>
      <c r="Q175">
        <f t="shared" si="4"/>
        <v>525</v>
      </c>
      <c r="R175">
        <v>1</v>
      </c>
      <c r="S175">
        <f>400000*R175*D175</f>
        <v>6400000</v>
      </c>
    </row>
    <row r="176" spans="1:19" x14ac:dyDescent="0.2">
      <c r="A176" t="s">
        <v>416</v>
      </c>
      <c r="B176">
        <v>307</v>
      </c>
      <c r="C176">
        <v>308</v>
      </c>
      <c r="D176">
        <v>16</v>
      </c>
      <c r="E176">
        <v>0.3</v>
      </c>
      <c r="F176">
        <v>10</v>
      </c>
      <c r="G176">
        <v>0.8</v>
      </c>
      <c r="H176">
        <v>1.6E-2</v>
      </c>
      <c r="I176">
        <v>6.0999999999999999E-2</v>
      </c>
      <c r="J176">
        <v>1.7000000000000001E-2</v>
      </c>
      <c r="K176">
        <v>175</v>
      </c>
      <c r="L176">
        <v>208</v>
      </c>
      <c r="M176">
        <v>220</v>
      </c>
      <c r="N176">
        <v>0</v>
      </c>
      <c r="O176" s="4">
        <f>_xlfn.XLOOKUP(B176,[1]bus!A:A,[1]bus!K:K,"MISS")</f>
        <v>127.47548783981962</v>
      </c>
      <c r="P176" s="4">
        <f t="shared" si="3"/>
        <v>382.42646351945888</v>
      </c>
      <c r="Q176">
        <f t="shared" si="4"/>
        <v>525</v>
      </c>
      <c r="R176">
        <v>1</v>
      </c>
      <c r="S176">
        <f>400000*R176*D176</f>
        <v>6400000</v>
      </c>
    </row>
    <row r="177" spans="1:19" hidden="1" x14ac:dyDescent="0.2">
      <c r="A177" t="s">
        <v>417</v>
      </c>
      <c r="B177">
        <v>308</v>
      </c>
      <c r="C177">
        <v>309</v>
      </c>
      <c r="D177">
        <v>43</v>
      </c>
      <c r="E177">
        <v>0.44</v>
      </c>
      <c r="F177">
        <v>10</v>
      </c>
      <c r="G177">
        <v>2.2999999999999998</v>
      </c>
      <c r="H177">
        <v>4.2999999999999997E-2</v>
      </c>
      <c r="I177">
        <v>0.16500000000000001</v>
      </c>
      <c r="J177">
        <v>4.4999999999999998E-2</v>
      </c>
      <c r="K177">
        <v>175</v>
      </c>
      <c r="L177">
        <v>208</v>
      </c>
      <c r="M177">
        <v>220</v>
      </c>
      <c r="N177">
        <v>0</v>
      </c>
      <c r="O177" s="4">
        <f>_xlfn.XLOOKUP(B177,[1]bus!A:A,[1]bus!K:K,"MISS")</f>
        <v>174.54512310574592</v>
      </c>
      <c r="P177" s="4">
        <f t="shared" si="3"/>
        <v>523.63536931723775</v>
      </c>
      <c r="Q177">
        <f t="shared" si="4"/>
        <v>525</v>
      </c>
      <c r="R177">
        <v>0</v>
      </c>
      <c r="S177">
        <v>-1</v>
      </c>
    </row>
    <row r="178" spans="1:19" x14ac:dyDescent="0.2">
      <c r="A178" t="s">
        <v>418</v>
      </c>
      <c r="B178">
        <v>308</v>
      </c>
      <c r="C178">
        <v>309</v>
      </c>
      <c r="D178">
        <v>43</v>
      </c>
      <c r="E178">
        <v>0.44</v>
      </c>
      <c r="F178">
        <v>10</v>
      </c>
      <c r="G178">
        <v>2.2999999999999998</v>
      </c>
      <c r="H178">
        <v>4.2999999999999997E-2</v>
      </c>
      <c r="I178">
        <v>0.16500000000000001</v>
      </c>
      <c r="J178">
        <v>4.4999999999999998E-2</v>
      </c>
      <c r="K178">
        <v>175</v>
      </c>
      <c r="L178">
        <v>208</v>
      </c>
      <c r="M178">
        <v>220</v>
      </c>
      <c r="N178">
        <v>0</v>
      </c>
      <c r="O178" s="4">
        <f>_xlfn.XLOOKUP(B178,[1]bus!A:A,[1]bus!K:K,"MISS")</f>
        <v>174.54512310574592</v>
      </c>
      <c r="P178" s="4">
        <f t="shared" si="3"/>
        <v>523.63536931723775</v>
      </c>
      <c r="Q178">
        <f t="shared" si="4"/>
        <v>525</v>
      </c>
      <c r="R178">
        <v>1</v>
      </c>
      <c r="S178">
        <f>400000*R178*D178</f>
        <v>17200000</v>
      </c>
    </row>
    <row r="179" spans="1:19" x14ac:dyDescent="0.2">
      <c r="A179" t="s">
        <v>419</v>
      </c>
      <c r="B179">
        <v>308</v>
      </c>
      <c r="C179">
        <v>309</v>
      </c>
      <c r="D179">
        <v>43</v>
      </c>
      <c r="E179">
        <v>0.44</v>
      </c>
      <c r="F179">
        <v>10</v>
      </c>
      <c r="G179">
        <v>2.2999999999999998</v>
      </c>
      <c r="H179">
        <v>4.2999999999999997E-2</v>
      </c>
      <c r="I179">
        <v>0.16500000000000001</v>
      </c>
      <c r="J179">
        <v>4.4999999999999998E-2</v>
      </c>
      <c r="K179">
        <v>175</v>
      </c>
      <c r="L179">
        <v>208</v>
      </c>
      <c r="M179">
        <v>220</v>
      </c>
      <c r="N179">
        <v>0</v>
      </c>
      <c r="O179" s="4">
        <f>_xlfn.XLOOKUP(B179,[1]bus!A:A,[1]bus!K:K,"MISS")</f>
        <v>174.54512310574592</v>
      </c>
      <c r="P179" s="4">
        <f t="shared" si="3"/>
        <v>523.63536931723775</v>
      </c>
      <c r="Q179">
        <f t="shared" si="4"/>
        <v>525</v>
      </c>
      <c r="R179">
        <v>1</v>
      </c>
      <c r="S179">
        <f>400000*R179*D179</f>
        <v>17200000</v>
      </c>
    </row>
    <row r="180" spans="1:19" hidden="1" x14ac:dyDescent="0.2">
      <c r="A180" t="s">
        <v>420</v>
      </c>
      <c r="B180">
        <v>308</v>
      </c>
      <c r="C180">
        <v>310</v>
      </c>
      <c r="D180">
        <v>43</v>
      </c>
      <c r="E180">
        <v>0.44</v>
      </c>
      <c r="F180">
        <v>10</v>
      </c>
      <c r="G180">
        <v>2.2999999999999998</v>
      </c>
      <c r="H180">
        <v>4.2999999999999997E-2</v>
      </c>
      <c r="I180">
        <v>0.16500000000000001</v>
      </c>
      <c r="J180">
        <v>4.4999999999999998E-2</v>
      </c>
      <c r="K180">
        <v>175</v>
      </c>
      <c r="L180">
        <v>208</v>
      </c>
      <c r="M180">
        <v>220</v>
      </c>
      <c r="N180">
        <v>0</v>
      </c>
      <c r="O180" s="4">
        <f>_xlfn.XLOOKUP(B180,[1]bus!A:A,[1]bus!K:K,"MISS")</f>
        <v>174.54512310574592</v>
      </c>
      <c r="P180" s="4">
        <f t="shared" si="3"/>
        <v>523.63536931723775</v>
      </c>
      <c r="Q180">
        <f t="shared" si="4"/>
        <v>525</v>
      </c>
      <c r="R180">
        <v>0</v>
      </c>
      <c r="S180">
        <v>-1</v>
      </c>
    </row>
    <row r="181" spans="1:19" x14ac:dyDescent="0.2">
      <c r="A181" t="s">
        <v>421</v>
      </c>
      <c r="B181">
        <v>308</v>
      </c>
      <c r="C181">
        <v>310</v>
      </c>
      <c r="D181">
        <v>43</v>
      </c>
      <c r="E181">
        <v>0.44</v>
      </c>
      <c r="F181">
        <v>10</v>
      </c>
      <c r="G181">
        <v>2.2999999999999998</v>
      </c>
      <c r="H181">
        <v>4.2999999999999997E-2</v>
      </c>
      <c r="I181">
        <v>0.16500000000000001</v>
      </c>
      <c r="J181">
        <v>4.4999999999999998E-2</v>
      </c>
      <c r="K181">
        <v>175</v>
      </c>
      <c r="L181">
        <v>208</v>
      </c>
      <c r="M181">
        <v>220</v>
      </c>
      <c r="N181">
        <v>0</v>
      </c>
      <c r="O181" s="4">
        <f>_xlfn.XLOOKUP(B181,[1]bus!A:A,[1]bus!K:K,"MISS")</f>
        <v>174.54512310574592</v>
      </c>
      <c r="P181" s="4">
        <f t="shared" si="3"/>
        <v>523.63536931723775</v>
      </c>
      <c r="Q181">
        <f t="shared" si="4"/>
        <v>525</v>
      </c>
      <c r="R181">
        <v>1</v>
      </c>
      <c r="S181">
        <f>400000*R181*D181</f>
        <v>17200000</v>
      </c>
    </row>
    <row r="182" spans="1:19" x14ac:dyDescent="0.2">
      <c r="A182" t="s">
        <v>422</v>
      </c>
      <c r="B182">
        <v>308</v>
      </c>
      <c r="C182">
        <v>310</v>
      </c>
      <c r="D182">
        <v>43</v>
      </c>
      <c r="E182">
        <v>0.44</v>
      </c>
      <c r="F182">
        <v>10</v>
      </c>
      <c r="G182">
        <v>2.2999999999999998</v>
      </c>
      <c r="H182">
        <v>4.2999999999999997E-2</v>
      </c>
      <c r="I182">
        <v>0.16500000000000001</v>
      </c>
      <c r="J182">
        <v>4.4999999999999998E-2</v>
      </c>
      <c r="K182">
        <v>175</v>
      </c>
      <c r="L182">
        <v>208</v>
      </c>
      <c r="M182">
        <v>220</v>
      </c>
      <c r="N182">
        <v>0</v>
      </c>
      <c r="O182" s="4">
        <f>_xlfn.XLOOKUP(B182,[1]bus!A:A,[1]bus!K:K,"MISS")</f>
        <v>174.54512310574592</v>
      </c>
      <c r="P182" s="4">
        <f t="shared" si="3"/>
        <v>523.63536931723775</v>
      </c>
      <c r="Q182">
        <f t="shared" si="4"/>
        <v>525</v>
      </c>
      <c r="R182">
        <v>1</v>
      </c>
      <c r="S182">
        <f>400000*R182*D182</f>
        <v>17200000</v>
      </c>
    </row>
    <row r="183" spans="1:19" hidden="1" x14ac:dyDescent="0.2">
      <c r="A183" t="s">
        <v>423</v>
      </c>
      <c r="B183">
        <v>309</v>
      </c>
      <c r="C183">
        <v>311</v>
      </c>
      <c r="D183">
        <v>0</v>
      </c>
      <c r="E183">
        <v>0.02</v>
      </c>
      <c r="F183">
        <v>768</v>
      </c>
      <c r="G183">
        <v>0</v>
      </c>
      <c r="H183">
        <v>2E-3</v>
      </c>
      <c r="I183">
        <v>8.4000000000000005E-2</v>
      </c>
      <c r="J183">
        <v>0</v>
      </c>
      <c r="K183">
        <v>400</v>
      </c>
      <c r="L183">
        <v>510</v>
      </c>
      <c r="M183">
        <v>600</v>
      </c>
      <c r="N183">
        <v>1.03</v>
      </c>
      <c r="O183" s="4">
        <f>_xlfn.XLOOKUP(B183,[1]bus!A:A,[1]bus!K:K,"MISS")</f>
        <v>178.66449003649271</v>
      </c>
      <c r="P183" s="4">
        <f t="shared" si="3"/>
        <v>535.99347010947815</v>
      </c>
      <c r="Q183">
        <f t="shared" si="4"/>
        <v>800</v>
      </c>
      <c r="R183">
        <v>0</v>
      </c>
      <c r="S183">
        <v>-1</v>
      </c>
    </row>
    <row r="184" spans="1:19" x14ac:dyDescent="0.2">
      <c r="A184" t="s">
        <v>424</v>
      </c>
      <c r="B184">
        <v>309</v>
      </c>
      <c r="C184">
        <v>311</v>
      </c>
      <c r="D184">
        <v>0</v>
      </c>
      <c r="E184">
        <v>0.02</v>
      </c>
      <c r="F184">
        <v>768</v>
      </c>
      <c r="G184">
        <v>0</v>
      </c>
      <c r="H184">
        <v>2E-3</v>
      </c>
      <c r="I184">
        <v>8.4000000000000005E-2</v>
      </c>
      <c r="J184">
        <v>0</v>
      </c>
      <c r="K184">
        <v>400</v>
      </c>
      <c r="L184">
        <v>510</v>
      </c>
      <c r="M184">
        <v>600</v>
      </c>
      <c r="N184">
        <v>1.03</v>
      </c>
      <c r="O184" s="4">
        <f>_xlfn.XLOOKUP(B184,[1]bus!A:A,[1]bus!K:K,"MISS")</f>
        <v>178.66449003649271</v>
      </c>
      <c r="P184" s="4">
        <f t="shared" si="3"/>
        <v>535.99347010947815</v>
      </c>
      <c r="Q184">
        <f t="shared" si="4"/>
        <v>800</v>
      </c>
      <c r="R184">
        <f>Q183/K183-1</f>
        <v>1</v>
      </c>
      <c r="S184">
        <v>0</v>
      </c>
    </row>
    <row r="185" spans="1:19" hidden="1" x14ac:dyDescent="0.2">
      <c r="A185" t="s">
        <v>425</v>
      </c>
      <c r="B185">
        <v>309</v>
      </c>
      <c r="C185">
        <v>312</v>
      </c>
      <c r="D185">
        <v>0</v>
      </c>
      <c r="E185">
        <v>0.02</v>
      </c>
      <c r="F185">
        <v>768</v>
      </c>
      <c r="G185">
        <v>0</v>
      </c>
      <c r="H185">
        <v>2E-3</v>
      </c>
      <c r="I185">
        <v>8.4000000000000005E-2</v>
      </c>
      <c r="J185">
        <v>0</v>
      </c>
      <c r="K185">
        <v>400</v>
      </c>
      <c r="L185">
        <v>510</v>
      </c>
      <c r="M185">
        <v>600</v>
      </c>
      <c r="N185">
        <v>1.03</v>
      </c>
      <c r="O185" s="4">
        <f>_xlfn.XLOOKUP(B185,[1]bus!A:A,[1]bus!K:K,"MISS")</f>
        <v>178.66449003649271</v>
      </c>
      <c r="P185" s="4">
        <f t="shared" si="3"/>
        <v>535.99347010947815</v>
      </c>
      <c r="Q185">
        <f t="shared" si="4"/>
        <v>800</v>
      </c>
      <c r="R185">
        <v>0</v>
      </c>
      <c r="S185">
        <v>-1</v>
      </c>
    </row>
    <row r="186" spans="1:19" x14ac:dyDescent="0.2">
      <c r="A186" t="s">
        <v>426</v>
      </c>
      <c r="B186">
        <v>309</v>
      </c>
      <c r="C186">
        <v>312</v>
      </c>
      <c r="D186">
        <v>0</v>
      </c>
      <c r="E186">
        <v>0.02</v>
      </c>
      <c r="F186">
        <v>768</v>
      </c>
      <c r="G186">
        <v>0</v>
      </c>
      <c r="H186">
        <v>2E-3</v>
      </c>
      <c r="I186">
        <v>8.4000000000000005E-2</v>
      </c>
      <c r="J186">
        <v>0</v>
      </c>
      <c r="K186">
        <v>400</v>
      </c>
      <c r="L186">
        <v>510</v>
      </c>
      <c r="M186">
        <v>600</v>
      </c>
      <c r="N186">
        <v>1.03</v>
      </c>
      <c r="O186" s="4">
        <f>_xlfn.XLOOKUP(B186,[1]bus!A:A,[1]bus!K:K,"MISS")</f>
        <v>178.66449003649271</v>
      </c>
      <c r="P186" s="4">
        <f t="shared" si="3"/>
        <v>535.99347010947815</v>
      </c>
      <c r="Q186">
        <f t="shared" si="4"/>
        <v>800</v>
      </c>
      <c r="R186">
        <f>Q185/K185-1</f>
        <v>1</v>
      </c>
      <c r="S186">
        <f>900000*R186*D186</f>
        <v>0</v>
      </c>
    </row>
    <row r="187" spans="1:19" hidden="1" x14ac:dyDescent="0.2">
      <c r="A187" t="s">
        <v>427</v>
      </c>
      <c r="B187">
        <v>310</v>
      </c>
      <c r="C187">
        <v>311</v>
      </c>
      <c r="D187">
        <v>0</v>
      </c>
      <c r="E187">
        <v>0.02</v>
      </c>
      <c r="F187">
        <v>768</v>
      </c>
      <c r="G187">
        <v>0</v>
      </c>
      <c r="H187">
        <v>2E-3</v>
      </c>
      <c r="I187">
        <v>8.4000000000000005E-2</v>
      </c>
      <c r="J187">
        <v>0</v>
      </c>
      <c r="K187">
        <v>400</v>
      </c>
      <c r="L187">
        <v>510</v>
      </c>
      <c r="M187">
        <v>600</v>
      </c>
      <c r="N187">
        <v>1.0149999999999999</v>
      </c>
      <c r="O187" s="4">
        <f>_xlfn.XLOOKUP(B187,[1]bus!A:A,[1]bus!K:K,"MISS")</f>
        <v>199.06029237394384</v>
      </c>
      <c r="P187" s="4">
        <f t="shared" si="3"/>
        <v>597.18087712183149</v>
      </c>
      <c r="Q187">
        <f t="shared" si="4"/>
        <v>800</v>
      </c>
      <c r="R187">
        <v>0</v>
      </c>
      <c r="S187">
        <v>-1</v>
      </c>
    </row>
    <row r="188" spans="1:19" x14ac:dyDescent="0.2">
      <c r="A188" t="s">
        <v>428</v>
      </c>
      <c r="B188">
        <v>310</v>
      </c>
      <c r="C188">
        <v>311</v>
      </c>
      <c r="D188">
        <v>0</v>
      </c>
      <c r="E188">
        <v>0.02</v>
      </c>
      <c r="F188">
        <v>768</v>
      </c>
      <c r="G188">
        <v>0</v>
      </c>
      <c r="H188">
        <v>2E-3</v>
      </c>
      <c r="I188">
        <v>8.4000000000000005E-2</v>
      </c>
      <c r="J188">
        <v>0</v>
      </c>
      <c r="K188">
        <v>400</v>
      </c>
      <c r="L188">
        <v>510</v>
      </c>
      <c r="M188">
        <v>600</v>
      </c>
      <c r="N188">
        <v>1.0149999999999999</v>
      </c>
      <c r="O188" s="4">
        <f>_xlfn.XLOOKUP(B188,[1]bus!A:A,[1]bus!K:K,"MISS")</f>
        <v>199.06029237394384</v>
      </c>
      <c r="P188" s="4">
        <f t="shared" si="3"/>
        <v>597.18087712183149</v>
      </c>
      <c r="Q188">
        <f t="shared" si="4"/>
        <v>800</v>
      </c>
      <c r="R188">
        <f>Q187/K187-1</f>
        <v>1</v>
      </c>
      <c r="S188">
        <v>0</v>
      </c>
    </row>
    <row r="189" spans="1:19" hidden="1" x14ac:dyDescent="0.2">
      <c r="A189" t="s">
        <v>429</v>
      </c>
      <c r="B189">
        <v>310</v>
      </c>
      <c r="C189">
        <v>312</v>
      </c>
      <c r="D189">
        <v>0</v>
      </c>
      <c r="E189">
        <v>0.02</v>
      </c>
      <c r="F189">
        <v>768</v>
      </c>
      <c r="G189">
        <v>0</v>
      </c>
      <c r="H189">
        <v>2E-3</v>
      </c>
      <c r="I189">
        <v>8.4000000000000005E-2</v>
      </c>
      <c r="J189">
        <v>0</v>
      </c>
      <c r="K189">
        <v>400</v>
      </c>
      <c r="L189">
        <v>510</v>
      </c>
      <c r="M189">
        <v>600</v>
      </c>
      <c r="N189">
        <v>1.0149999999999999</v>
      </c>
      <c r="O189" s="4">
        <f>_xlfn.XLOOKUP(B189,[1]bus!A:A,[1]bus!K:K,"MISS")</f>
        <v>199.06029237394384</v>
      </c>
      <c r="P189" s="4">
        <f t="shared" si="3"/>
        <v>597.18087712183149</v>
      </c>
      <c r="Q189">
        <f t="shared" si="4"/>
        <v>800</v>
      </c>
      <c r="R189">
        <v>0</v>
      </c>
      <c r="S189">
        <v>-1</v>
      </c>
    </row>
    <row r="190" spans="1:19" x14ac:dyDescent="0.2">
      <c r="A190" t="s">
        <v>430</v>
      </c>
      <c r="B190">
        <v>310</v>
      </c>
      <c r="C190">
        <v>312</v>
      </c>
      <c r="D190">
        <v>0</v>
      </c>
      <c r="E190">
        <v>0.02</v>
      </c>
      <c r="F190">
        <v>768</v>
      </c>
      <c r="G190">
        <v>0</v>
      </c>
      <c r="H190">
        <v>2E-3</v>
      </c>
      <c r="I190">
        <v>8.4000000000000005E-2</v>
      </c>
      <c r="J190">
        <v>0</v>
      </c>
      <c r="K190">
        <v>400</v>
      </c>
      <c r="L190">
        <v>510</v>
      </c>
      <c r="M190">
        <v>600</v>
      </c>
      <c r="N190">
        <v>1.0149999999999999</v>
      </c>
      <c r="O190" s="4">
        <f>_xlfn.XLOOKUP(B190,[1]bus!A:A,[1]bus!K:K,"MISS")</f>
        <v>199.06029237394384</v>
      </c>
      <c r="P190" s="4">
        <f t="shared" si="3"/>
        <v>597.18087712183149</v>
      </c>
      <c r="Q190">
        <f t="shared" si="4"/>
        <v>800</v>
      </c>
      <c r="R190">
        <f>Q189/K189-1</f>
        <v>1</v>
      </c>
      <c r="S190">
        <f>900000*R190*D190</f>
        <v>0</v>
      </c>
    </row>
    <row r="191" spans="1:19" hidden="1" x14ac:dyDescent="0.2">
      <c r="A191" t="s">
        <v>431</v>
      </c>
      <c r="B191">
        <v>311</v>
      </c>
      <c r="C191">
        <v>313</v>
      </c>
      <c r="D191">
        <v>33</v>
      </c>
      <c r="E191">
        <v>0.4</v>
      </c>
      <c r="F191">
        <v>11</v>
      </c>
      <c r="G191">
        <v>0.8</v>
      </c>
      <c r="H191">
        <v>6.0000000000000001E-3</v>
      </c>
      <c r="I191">
        <v>4.8000000000000001E-2</v>
      </c>
      <c r="J191">
        <v>0.1</v>
      </c>
      <c r="K191">
        <v>500</v>
      </c>
      <c r="L191">
        <v>600</v>
      </c>
      <c r="M191">
        <v>625</v>
      </c>
      <c r="N191">
        <v>0</v>
      </c>
      <c r="O191" s="4">
        <f>_xlfn.XLOOKUP(B191,[1]bus!A:A,[1]bus!K:K,"MISS")</f>
        <v>0</v>
      </c>
      <c r="P191" s="4">
        <f t="shared" si="3"/>
        <v>0</v>
      </c>
      <c r="Q191">
        <f t="shared" si="4"/>
        <v>500</v>
      </c>
      <c r="R191">
        <v>0</v>
      </c>
      <c r="S191">
        <v>-1</v>
      </c>
    </row>
    <row r="192" spans="1:19" hidden="1" x14ac:dyDescent="0.2">
      <c r="A192" t="s">
        <v>432</v>
      </c>
      <c r="B192">
        <v>311</v>
      </c>
      <c r="C192">
        <v>314</v>
      </c>
      <c r="D192">
        <v>29</v>
      </c>
      <c r="E192">
        <v>0.39</v>
      </c>
      <c r="F192">
        <v>11</v>
      </c>
      <c r="G192">
        <v>0.7</v>
      </c>
      <c r="H192">
        <v>5.0000000000000001E-3</v>
      </c>
      <c r="I192">
        <v>4.2000000000000003E-2</v>
      </c>
      <c r="J192">
        <v>8.7999999999999995E-2</v>
      </c>
      <c r="K192">
        <v>500</v>
      </c>
      <c r="L192">
        <v>600</v>
      </c>
      <c r="M192">
        <v>625</v>
      </c>
      <c r="N192">
        <v>0</v>
      </c>
      <c r="O192" s="4">
        <f>_xlfn.XLOOKUP(B192,[1]bus!A:A,[1]bus!K:K,"MISS")</f>
        <v>0</v>
      </c>
      <c r="P192" s="4">
        <f t="shared" ref="P192:P228" si="5">O192*3</f>
        <v>0</v>
      </c>
      <c r="Q192">
        <f t="shared" si="4"/>
        <v>500</v>
      </c>
      <c r="R192">
        <f>Q191/K191-1</f>
        <v>0</v>
      </c>
      <c r="S192">
        <v>-1</v>
      </c>
    </row>
    <row r="193" spans="1:19" hidden="1" x14ac:dyDescent="0.2">
      <c r="A193" t="s">
        <v>433</v>
      </c>
      <c r="B193">
        <v>312</v>
      </c>
      <c r="C193">
        <v>313</v>
      </c>
      <c r="D193">
        <v>33</v>
      </c>
      <c r="E193">
        <v>0.4</v>
      </c>
      <c r="F193">
        <v>11</v>
      </c>
      <c r="G193">
        <v>0.8</v>
      </c>
      <c r="H193">
        <v>6.0000000000000001E-3</v>
      </c>
      <c r="I193">
        <v>4.8000000000000001E-2</v>
      </c>
      <c r="J193">
        <v>0.1</v>
      </c>
      <c r="K193">
        <v>500</v>
      </c>
      <c r="L193">
        <v>600</v>
      </c>
      <c r="M193">
        <v>625</v>
      </c>
      <c r="N193">
        <v>0</v>
      </c>
      <c r="O193" s="4">
        <f>_xlfn.XLOOKUP(B193,[1]bus!A:A,[1]bus!K:K,"MISS")</f>
        <v>0</v>
      </c>
      <c r="P193" s="4">
        <f t="shared" si="5"/>
        <v>0</v>
      </c>
      <c r="Q193">
        <f t="shared" si="4"/>
        <v>500</v>
      </c>
      <c r="R193">
        <f>Q192/K192-1</f>
        <v>0</v>
      </c>
      <c r="S193">
        <v>-1</v>
      </c>
    </row>
    <row r="194" spans="1:19" hidden="1" x14ac:dyDescent="0.2">
      <c r="A194" t="s">
        <v>434</v>
      </c>
      <c r="B194">
        <v>312</v>
      </c>
      <c r="C194">
        <v>323</v>
      </c>
      <c r="D194">
        <v>67</v>
      </c>
      <c r="E194">
        <v>0.52</v>
      </c>
      <c r="F194">
        <v>11</v>
      </c>
      <c r="G194">
        <v>1.6</v>
      </c>
      <c r="H194">
        <v>1.2E-2</v>
      </c>
      <c r="I194">
        <v>9.7000000000000003E-2</v>
      </c>
      <c r="J194">
        <v>0.20300000000000001</v>
      </c>
      <c r="K194">
        <v>500</v>
      </c>
      <c r="L194">
        <v>600</v>
      </c>
      <c r="M194">
        <v>625</v>
      </c>
      <c r="N194">
        <v>0</v>
      </c>
      <c r="O194" s="4">
        <f>_xlfn.XLOOKUP(B194,[1]bus!A:A,[1]bus!K:K,"MISS")</f>
        <v>0</v>
      </c>
      <c r="P194" s="4">
        <f t="shared" si="5"/>
        <v>0</v>
      </c>
      <c r="Q194">
        <f t="shared" ref="Q194:Q257" si="6">IF(P194&lt;K194,K194,IF(P194&lt;K194*2,K194*2,K194*3))</f>
        <v>500</v>
      </c>
      <c r="R194">
        <f>Q193/K193-1</f>
        <v>0</v>
      </c>
      <c r="S194">
        <v>-1</v>
      </c>
    </row>
    <row r="195" spans="1:19" hidden="1" x14ac:dyDescent="0.2">
      <c r="A195" t="s">
        <v>435</v>
      </c>
      <c r="B195">
        <v>313</v>
      </c>
      <c r="C195">
        <v>323</v>
      </c>
      <c r="D195">
        <v>60</v>
      </c>
      <c r="E195">
        <v>0.49</v>
      </c>
      <c r="F195">
        <v>11</v>
      </c>
      <c r="G195">
        <v>1.5</v>
      </c>
      <c r="H195">
        <v>1.0999999999999999E-2</v>
      </c>
      <c r="I195">
        <v>8.6999999999999994E-2</v>
      </c>
      <c r="J195">
        <v>0.182</v>
      </c>
      <c r="K195">
        <v>500</v>
      </c>
      <c r="L195">
        <v>600</v>
      </c>
      <c r="M195">
        <v>625</v>
      </c>
      <c r="N195">
        <v>0</v>
      </c>
      <c r="O195" s="4">
        <f>_xlfn.XLOOKUP(B195,[1]bus!A:A,[1]bus!K:K,"MISS")</f>
        <v>270.44592805217093</v>
      </c>
      <c r="P195" s="4">
        <f t="shared" si="5"/>
        <v>811.33778415651273</v>
      </c>
      <c r="Q195">
        <f t="shared" si="6"/>
        <v>1000</v>
      </c>
      <c r="R195">
        <f>Q194/K194-1</f>
        <v>0</v>
      </c>
      <c r="S195">
        <v>-1</v>
      </c>
    </row>
    <row r="196" spans="1:19" hidden="1" x14ac:dyDescent="0.2">
      <c r="A196" t="s">
        <v>436</v>
      </c>
      <c r="B196">
        <v>313</v>
      </c>
      <c r="C196">
        <v>323</v>
      </c>
      <c r="D196">
        <v>60</v>
      </c>
      <c r="E196">
        <v>0.49</v>
      </c>
      <c r="F196">
        <v>11</v>
      </c>
      <c r="G196">
        <v>1.5</v>
      </c>
      <c r="H196">
        <v>1.0999999999999999E-2</v>
      </c>
      <c r="I196">
        <v>8.6999999999999994E-2</v>
      </c>
      <c r="J196">
        <v>0.182</v>
      </c>
      <c r="K196">
        <v>500</v>
      </c>
      <c r="L196">
        <v>600</v>
      </c>
      <c r="M196">
        <v>625</v>
      </c>
      <c r="N196">
        <v>0</v>
      </c>
      <c r="O196" s="4">
        <f>_xlfn.XLOOKUP(B196,[1]bus!A:A,[1]bus!K:K,"MISS")</f>
        <v>270.44592805217093</v>
      </c>
      <c r="P196" s="4">
        <f t="shared" si="5"/>
        <v>811.33778415651273</v>
      </c>
      <c r="Q196">
        <f t="shared" si="6"/>
        <v>1000</v>
      </c>
      <c r="R196">
        <f>Q195/K195-1</f>
        <v>1</v>
      </c>
      <c r="S196">
        <f>900000*R196*D196</f>
        <v>54000000</v>
      </c>
    </row>
    <row r="197" spans="1:19" hidden="1" x14ac:dyDescent="0.2">
      <c r="A197" t="s">
        <v>437</v>
      </c>
      <c r="B197">
        <v>314</v>
      </c>
      <c r="C197">
        <v>316</v>
      </c>
      <c r="D197">
        <v>27</v>
      </c>
      <c r="E197">
        <v>0.38</v>
      </c>
      <c r="F197">
        <v>11</v>
      </c>
      <c r="G197">
        <v>0.7</v>
      </c>
      <c r="H197">
        <v>5.0000000000000001E-3</v>
      </c>
      <c r="I197">
        <v>5.8999999999999997E-2</v>
      </c>
      <c r="J197">
        <v>8.2000000000000003E-2</v>
      </c>
      <c r="K197">
        <v>500</v>
      </c>
      <c r="L197">
        <v>600</v>
      </c>
      <c r="M197">
        <v>625</v>
      </c>
      <c r="N197">
        <v>0</v>
      </c>
      <c r="O197" s="4">
        <f>_xlfn.XLOOKUP(B197,[1]bus!A:A,[1]bus!K:K,"MISS")</f>
        <v>197.88127753782064</v>
      </c>
      <c r="P197" s="4">
        <f t="shared" si="5"/>
        <v>593.64383261346188</v>
      </c>
      <c r="Q197">
        <f t="shared" si="6"/>
        <v>1000</v>
      </c>
      <c r="R197">
        <v>0</v>
      </c>
      <c r="S197">
        <v>-1</v>
      </c>
    </row>
    <row r="198" spans="1:19" hidden="1" x14ac:dyDescent="0.2">
      <c r="A198" t="s">
        <v>438</v>
      </c>
      <c r="B198">
        <v>314</v>
      </c>
      <c r="C198">
        <v>316</v>
      </c>
      <c r="D198">
        <v>27</v>
      </c>
      <c r="E198">
        <v>0.38</v>
      </c>
      <c r="F198">
        <v>11</v>
      </c>
      <c r="G198">
        <v>0.7</v>
      </c>
      <c r="H198">
        <v>5.0000000000000001E-3</v>
      </c>
      <c r="I198">
        <v>5.8999999999999997E-2</v>
      </c>
      <c r="J198">
        <v>8.2000000000000003E-2</v>
      </c>
      <c r="K198">
        <v>500</v>
      </c>
      <c r="L198">
        <v>600</v>
      </c>
      <c r="M198">
        <v>625</v>
      </c>
      <c r="N198">
        <v>0</v>
      </c>
      <c r="O198" s="4">
        <f>_xlfn.XLOOKUP(B198,[1]bus!A:A,[1]bus!K:K,"MISS")</f>
        <v>197.88127753782064</v>
      </c>
      <c r="P198" s="4">
        <f t="shared" si="5"/>
        <v>593.64383261346188</v>
      </c>
      <c r="Q198">
        <f t="shared" si="6"/>
        <v>1000</v>
      </c>
      <c r="R198">
        <f>Q197/K197-1</f>
        <v>1</v>
      </c>
      <c r="S198">
        <f>900000*R198*D198</f>
        <v>24300000</v>
      </c>
    </row>
    <row r="199" spans="1:19" hidden="1" x14ac:dyDescent="0.2">
      <c r="A199" t="s">
        <v>439</v>
      </c>
      <c r="B199">
        <v>315</v>
      </c>
      <c r="C199">
        <v>316</v>
      </c>
      <c r="D199">
        <v>12</v>
      </c>
      <c r="E199">
        <v>0.33</v>
      </c>
      <c r="F199">
        <v>11</v>
      </c>
      <c r="G199">
        <v>0.3</v>
      </c>
      <c r="H199">
        <v>2E-3</v>
      </c>
      <c r="I199">
        <v>1.7000000000000001E-2</v>
      </c>
      <c r="J199">
        <v>3.5999999999999997E-2</v>
      </c>
      <c r="K199">
        <v>500</v>
      </c>
      <c r="L199">
        <v>600</v>
      </c>
      <c r="M199">
        <v>625</v>
      </c>
      <c r="N199">
        <v>0</v>
      </c>
      <c r="O199" s="4">
        <f>_xlfn.XLOOKUP(B199,[1]bus!A:A,[1]bus!K:K,"MISS")</f>
        <v>323.39604202896487</v>
      </c>
      <c r="P199" s="4">
        <f t="shared" si="5"/>
        <v>970.18812608689461</v>
      </c>
      <c r="Q199">
        <f t="shared" si="6"/>
        <v>1000</v>
      </c>
      <c r="R199">
        <v>0</v>
      </c>
      <c r="S199">
        <v>-1</v>
      </c>
    </row>
    <row r="200" spans="1:19" hidden="1" x14ac:dyDescent="0.2">
      <c r="A200" t="s">
        <v>440</v>
      </c>
      <c r="B200">
        <v>315</v>
      </c>
      <c r="C200">
        <v>316</v>
      </c>
      <c r="D200">
        <v>12</v>
      </c>
      <c r="E200">
        <v>0.33</v>
      </c>
      <c r="F200">
        <v>11</v>
      </c>
      <c r="G200">
        <v>0.3</v>
      </c>
      <c r="H200">
        <v>2E-3</v>
      </c>
      <c r="I200">
        <v>1.7000000000000001E-2</v>
      </c>
      <c r="J200">
        <v>3.5999999999999997E-2</v>
      </c>
      <c r="K200">
        <v>500</v>
      </c>
      <c r="L200">
        <v>600</v>
      </c>
      <c r="M200">
        <v>625</v>
      </c>
      <c r="N200">
        <v>0</v>
      </c>
      <c r="O200" s="4">
        <f>_xlfn.XLOOKUP(B200,[1]bus!A:A,[1]bus!K:K,"MISS")</f>
        <v>323.39604202896487</v>
      </c>
      <c r="P200" s="4">
        <f t="shared" si="5"/>
        <v>970.18812608689461</v>
      </c>
      <c r="Q200">
        <f t="shared" si="6"/>
        <v>1000</v>
      </c>
      <c r="R200">
        <f>Q199/K199-1</f>
        <v>1</v>
      </c>
      <c r="S200">
        <f>900000*R200*D200</f>
        <v>10800000</v>
      </c>
    </row>
    <row r="201" spans="1:19" hidden="1" x14ac:dyDescent="0.2">
      <c r="A201" t="s">
        <v>441</v>
      </c>
      <c r="B201">
        <v>315</v>
      </c>
      <c r="C201">
        <v>321</v>
      </c>
      <c r="D201">
        <v>34</v>
      </c>
      <c r="E201">
        <v>0.41</v>
      </c>
      <c r="F201">
        <v>11</v>
      </c>
      <c r="G201">
        <v>0.8</v>
      </c>
      <c r="H201">
        <v>6.0000000000000001E-3</v>
      </c>
      <c r="I201">
        <v>4.9000000000000002E-2</v>
      </c>
      <c r="J201">
        <v>0.10299999999999999</v>
      </c>
      <c r="K201">
        <v>500</v>
      </c>
      <c r="L201">
        <v>600</v>
      </c>
      <c r="M201">
        <v>625</v>
      </c>
      <c r="N201">
        <v>0</v>
      </c>
      <c r="O201" s="4">
        <f>_xlfn.XLOOKUP(B201,[1]bus!A:A,[1]bus!K:K,"MISS")</f>
        <v>323.39604202896487</v>
      </c>
      <c r="P201" s="4">
        <f t="shared" si="5"/>
        <v>970.18812608689461</v>
      </c>
      <c r="Q201">
        <f t="shared" si="6"/>
        <v>1000</v>
      </c>
      <c r="R201">
        <v>0</v>
      </c>
      <c r="S201">
        <v>-1</v>
      </c>
    </row>
    <row r="202" spans="1:19" hidden="1" x14ac:dyDescent="0.2">
      <c r="A202" t="s">
        <v>442</v>
      </c>
      <c r="B202">
        <v>315</v>
      </c>
      <c r="C202">
        <v>321</v>
      </c>
      <c r="D202">
        <v>34</v>
      </c>
      <c r="E202">
        <v>0.41</v>
      </c>
      <c r="F202">
        <v>11</v>
      </c>
      <c r="G202">
        <v>0.8</v>
      </c>
      <c r="H202">
        <v>6.0000000000000001E-3</v>
      </c>
      <c r="I202">
        <v>4.9000000000000002E-2</v>
      </c>
      <c r="J202">
        <v>0.10299999999999999</v>
      </c>
      <c r="K202">
        <v>500</v>
      </c>
      <c r="L202">
        <v>600</v>
      </c>
      <c r="M202">
        <v>625</v>
      </c>
      <c r="N202">
        <v>0</v>
      </c>
      <c r="O202" s="4">
        <f>_xlfn.XLOOKUP(B202,[1]bus!A:A,[1]bus!K:K,"MISS")</f>
        <v>323.39604202896487</v>
      </c>
      <c r="P202" s="4">
        <f t="shared" si="5"/>
        <v>970.18812608689461</v>
      </c>
      <c r="Q202">
        <f t="shared" si="6"/>
        <v>1000</v>
      </c>
      <c r="R202">
        <f>Q201/K201-1</f>
        <v>1</v>
      </c>
      <c r="S202">
        <f>900000*R202*D202</f>
        <v>30600000</v>
      </c>
    </row>
    <row r="203" spans="1:19" hidden="1" x14ac:dyDescent="0.2">
      <c r="A203" t="s">
        <v>443</v>
      </c>
      <c r="B203">
        <v>315</v>
      </c>
      <c r="C203">
        <v>321</v>
      </c>
      <c r="D203">
        <v>34</v>
      </c>
      <c r="E203">
        <v>0.41</v>
      </c>
      <c r="F203">
        <v>11</v>
      </c>
      <c r="G203">
        <v>0.8</v>
      </c>
      <c r="H203">
        <v>6.0000000000000001E-3</v>
      </c>
      <c r="I203">
        <v>4.9000000000000002E-2</v>
      </c>
      <c r="J203">
        <v>0.10299999999999999</v>
      </c>
      <c r="K203">
        <v>500</v>
      </c>
      <c r="L203">
        <v>600</v>
      </c>
      <c r="M203">
        <v>625</v>
      </c>
      <c r="N203">
        <v>0</v>
      </c>
      <c r="O203" s="4">
        <f>_xlfn.XLOOKUP(B203,[1]bus!A:A,[1]bus!K:K,"MISS")</f>
        <v>323.39604202896487</v>
      </c>
      <c r="P203" s="4">
        <f t="shared" si="5"/>
        <v>970.18812608689461</v>
      </c>
      <c r="Q203">
        <f t="shared" si="6"/>
        <v>1000</v>
      </c>
      <c r="R203">
        <v>0</v>
      </c>
      <c r="S203">
        <v>-1</v>
      </c>
    </row>
    <row r="204" spans="1:19" hidden="1" x14ac:dyDescent="0.2">
      <c r="A204" t="s">
        <v>444</v>
      </c>
      <c r="B204">
        <v>315</v>
      </c>
      <c r="C204">
        <v>321</v>
      </c>
      <c r="D204">
        <v>34</v>
      </c>
      <c r="E204">
        <v>0.41</v>
      </c>
      <c r="F204">
        <v>11</v>
      </c>
      <c r="G204">
        <v>0.8</v>
      </c>
      <c r="H204">
        <v>6.0000000000000001E-3</v>
      </c>
      <c r="I204">
        <v>4.9000000000000002E-2</v>
      </c>
      <c r="J204">
        <v>0.10299999999999999</v>
      </c>
      <c r="K204">
        <v>500</v>
      </c>
      <c r="L204">
        <v>600</v>
      </c>
      <c r="M204">
        <v>625</v>
      </c>
      <c r="N204">
        <v>0</v>
      </c>
      <c r="O204" s="4">
        <f>_xlfn.XLOOKUP(B204,[1]bus!A:A,[1]bus!K:K,"MISS")</f>
        <v>323.39604202896487</v>
      </c>
      <c r="P204" s="4">
        <f t="shared" si="5"/>
        <v>970.18812608689461</v>
      </c>
      <c r="Q204">
        <f t="shared" si="6"/>
        <v>1000</v>
      </c>
      <c r="R204">
        <f>Q203/K203-1</f>
        <v>1</v>
      </c>
      <c r="S204">
        <f>900000*R204*D204</f>
        <v>30600000</v>
      </c>
    </row>
    <row r="205" spans="1:19" hidden="1" x14ac:dyDescent="0.2">
      <c r="A205" t="s">
        <v>445</v>
      </c>
      <c r="B205">
        <v>315</v>
      </c>
      <c r="C205">
        <v>324</v>
      </c>
      <c r="D205">
        <v>36</v>
      </c>
      <c r="E205">
        <v>0.41</v>
      </c>
      <c r="F205">
        <v>11</v>
      </c>
      <c r="G205">
        <v>0.9</v>
      </c>
      <c r="H205">
        <v>7.0000000000000001E-3</v>
      </c>
      <c r="I205">
        <v>5.1999999999999998E-2</v>
      </c>
      <c r="J205">
        <v>0.109</v>
      </c>
      <c r="K205">
        <v>500</v>
      </c>
      <c r="L205">
        <v>600</v>
      </c>
      <c r="M205">
        <v>625</v>
      </c>
      <c r="N205">
        <v>0</v>
      </c>
      <c r="O205" s="4">
        <f>_xlfn.XLOOKUP(B205,[1]bus!A:A,[1]bus!K:K,"MISS")</f>
        <v>323.39604202896487</v>
      </c>
      <c r="P205" s="4">
        <f t="shared" si="5"/>
        <v>970.18812608689461</v>
      </c>
      <c r="Q205">
        <f t="shared" si="6"/>
        <v>1000</v>
      </c>
      <c r="R205">
        <v>0</v>
      </c>
      <c r="S205">
        <v>-1</v>
      </c>
    </row>
    <row r="206" spans="1:19" hidden="1" x14ac:dyDescent="0.2">
      <c r="A206" t="s">
        <v>446</v>
      </c>
      <c r="B206">
        <v>315</v>
      </c>
      <c r="C206">
        <v>324</v>
      </c>
      <c r="D206">
        <v>36</v>
      </c>
      <c r="E206">
        <v>0.41</v>
      </c>
      <c r="F206">
        <v>11</v>
      </c>
      <c r="G206">
        <v>0.9</v>
      </c>
      <c r="H206">
        <v>7.0000000000000001E-3</v>
      </c>
      <c r="I206">
        <v>5.1999999999999998E-2</v>
      </c>
      <c r="J206">
        <v>0.109</v>
      </c>
      <c r="K206">
        <v>500</v>
      </c>
      <c r="L206">
        <v>600</v>
      </c>
      <c r="M206">
        <v>625</v>
      </c>
      <c r="N206">
        <v>0</v>
      </c>
      <c r="O206" s="4">
        <f>_xlfn.XLOOKUP(B206,[1]bus!A:A,[1]bus!K:K,"MISS")</f>
        <v>323.39604202896487</v>
      </c>
      <c r="P206" s="4">
        <f t="shared" si="5"/>
        <v>970.18812608689461</v>
      </c>
      <c r="Q206">
        <f t="shared" si="6"/>
        <v>1000</v>
      </c>
      <c r="R206">
        <f>Q205/K205-1</f>
        <v>1</v>
      </c>
      <c r="S206">
        <f>900000*R206*D206</f>
        <v>32400000</v>
      </c>
    </row>
    <row r="207" spans="1:19" hidden="1" x14ac:dyDescent="0.2">
      <c r="A207" t="s">
        <v>447</v>
      </c>
      <c r="B207">
        <v>316</v>
      </c>
      <c r="C207">
        <v>317</v>
      </c>
      <c r="D207">
        <v>18</v>
      </c>
      <c r="E207">
        <v>0.35</v>
      </c>
      <c r="F207">
        <v>11</v>
      </c>
      <c r="G207">
        <v>0.4</v>
      </c>
      <c r="H207">
        <v>3.0000000000000001E-3</v>
      </c>
      <c r="I207">
        <v>2.5999999999999999E-2</v>
      </c>
      <c r="J207">
        <v>5.5E-2</v>
      </c>
      <c r="K207">
        <v>500</v>
      </c>
      <c r="L207">
        <v>600</v>
      </c>
      <c r="M207">
        <v>625</v>
      </c>
      <c r="N207">
        <v>0</v>
      </c>
      <c r="O207" s="4">
        <f>_xlfn.XLOOKUP(B207,[1]bus!A:A,[1]bus!K:K,"MISS")</f>
        <v>101.9803902718557</v>
      </c>
      <c r="P207" s="4">
        <f t="shared" si="5"/>
        <v>305.94117081556709</v>
      </c>
      <c r="Q207">
        <f t="shared" si="6"/>
        <v>500</v>
      </c>
      <c r="R207">
        <v>0</v>
      </c>
      <c r="S207">
        <v>-1</v>
      </c>
    </row>
    <row r="208" spans="1:19" hidden="1" x14ac:dyDescent="0.2">
      <c r="A208" t="s">
        <v>448</v>
      </c>
      <c r="B208">
        <v>316</v>
      </c>
      <c r="C208">
        <v>319</v>
      </c>
      <c r="D208">
        <v>16</v>
      </c>
      <c r="E208">
        <v>0.34</v>
      </c>
      <c r="F208">
        <v>11</v>
      </c>
      <c r="G208">
        <v>0.4</v>
      </c>
      <c r="H208">
        <v>3.0000000000000001E-3</v>
      </c>
      <c r="I208">
        <v>2.3E-2</v>
      </c>
      <c r="J208">
        <v>4.9000000000000002E-2</v>
      </c>
      <c r="K208">
        <v>500</v>
      </c>
      <c r="L208">
        <v>600</v>
      </c>
      <c r="M208">
        <v>625</v>
      </c>
      <c r="N208">
        <v>0</v>
      </c>
      <c r="O208" s="4">
        <f>_xlfn.XLOOKUP(B208,[1]bus!A:A,[1]bus!K:K,"MISS")</f>
        <v>101.9803902718557</v>
      </c>
      <c r="P208" s="4">
        <f t="shared" si="5"/>
        <v>305.94117081556709</v>
      </c>
      <c r="Q208">
        <f t="shared" si="6"/>
        <v>500</v>
      </c>
      <c r="R208">
        <f>Q207/K207-1</f>
        <v>0</v>
      </c>
      <c r="S208">
        <v>-1</v>
      </c>
    </row>
    <row r="209" spans="1:19" hidden="1" x14ac:dyDescent="0.2">
      <c r="A209" t="s">
        <v>449</v>
      </c>
      <c r="B209">
        <v>317</v>
      </c>
      <c r="C209">
        <v>318</v>
      </c>
      <c r="D209">
        <v>10</v>
      </c>
      <c r="E209">
        <v>0.32</v>
      </c>
      <c r="F209">
        <v>11</v>
      </c>
      <c r="G209">
        <v>0.2</v>
      </c>
      <c r="H209">
        <v>2E-3</v>
      </c>
      <c r="I209">
        <v>1.4E-2</v>
      </c>
      <c r="J209">
        <v>0.03</v>
      </c>
      <c r="K209">
        <v>500</v>
      </c>
      <c r="L209">
        <v>600</v>
      </c>
      <c r="M209">
        <v>625</v>
      </c>
      <c r="N209">
        <v>0</v>
      </c>
      <c r="O209" s="4">
        <f>_xlfn.XLOOKUP(B209,[1]bus!A:A,[1]bus!K:K,"MISS")</f>
        <v>0</v>
      </c>
      <c r="P209" s="4">
        <f t="shared" si="5"/>
        <v>0</v>
      </c>
      <c r="Q209">
        <f t="shared" si="6"/>
        <v>500</v>
      </c>
      <c r="R209">
        <f>Q208/K208-1</f>
        <v>0</v>
      </c>
      <c r="S209">
        <v>-1</v>
      </c>
    </row>
    <row r="210" spans="1:19" hidden="1" x14ac:dyDescent="0.2">
      <c r="A210" t="s">
        <v>450</v>
      </c>
      <c r="B210">
        <v>317</v>
      </c>
      <c r="C210">
        <v>322</v>
      </c>
      <c r="D210">
        <v>73</v>
      </c>
      <c r="E210">
        <v>0.54</v>
      </c>
      <c r="F210">
        <v>11</v>
      </c>
      <c r="G210">
        <v>1.8</v>
      </c>
      <c r="H210">
        <v>1.4E-2</v>
      </c>
      <c r="I210">
        <v>0.105</v>
      </c>
      <c r="J210">
        <v>0.221</v>
      </c>
      <c r="K210">
        <v>500</v>
      </c>
      <c r="L210">
        <v>600</v>
      </c>
      <c r="M210">
        <v>625</v>
      </c>
      <c r="N210">
        <v>0</v>
      </c>
      <c r="O210" s="4">
        <f>_xlfn.XLOOKUP(B210,[1]bus!A:A,[1]bus!K:K,"MISS")</f>
        <v>0</v>
      </c>
      <c r="P210" s="4">
        <f t="shared" si="5"/>
        <v>0</v>
      </c>
      <c r="Q210">
        <f t="shared" si="6"/>
        <v>500</v>
      </c>
      <c r="R210">
        <f>Q209/K209-1</f>
        <v>0</v>
      </c>
      <c r="S210">
        <v>-1</v>
      </c>
    </row>
    <row r="211" spans="1:19" hidden="1" x14ac:dyDescent="0.2">
      <c r="A211" t="s">
        <v>451</v>
      </c>
      <c r="B211">
        <v>318</v>
      </c>
      <c r="C211">
        <v>321</v>
      </c>
      <c r="D211">
        <v>18</v>
      </c>
      <c r="E211">
        <v>0.35</v>
      </c>
      <c r="F211">
        <v>11</v>
      </c>
      <c r="G211">
        <v>0.4</v>
      </c>
      <c r="H211">
        <v>3.0000000000000001E-3</v>
      </c>
      <c r="I211">
        <v>2.5999999999999999E-2</v>
      </c>
      <c r="J211">
        <v>5.5E-2</v>
      </c>
      <c r="K211">
        <v>500</v>
      </c>
      <c r="L211">
        <v>600</v>
      </c>
      <c r="M211">
        <v>625</v>
      </c>
      <c r="N211">
        <v>0</v>
      </c>
      <c r="O211" s="4">
        <f>_xlfn.XLOOKUP(B211,[1]bus!A:A,[1]bus!K:K,"MISS")</f>
        <v>339.87203474248952</v>
      </c>
      <c r="P211" s="4">
        <f t="shared" si="5"/>
        <v>1019.6161042274686</v>
      </c>
      <c r="Q211">
        <f t="shared" si="6"/>
        <v>1500</v>
      </c>
      <c r="R211">
        <f>Q210/K210-1</f>
        <v>0</v>
      </c>
      <c r="S211">
        <v>-1</v>
      </c>
    </row>
    <row r="212" spans="1:19" hidden="1" x14ac:dyDescent="0.2">
      <c r="A212" t="s">
        <v>452</v>
      </c>
      <c r="B212">
        <v>318</v>
      </c>
      <c r="C212">
        <v>321</v>
      </c>
      <c r="D212">
        <v>18</v>
      </c>
      <c r="E212">
        <v>0.35</v>
      </c>
      <c r="F212">
        <v>11</v>
      </c>
      <c r="G212">
        <v>0.4</v>
      </c>
      <c r="H212">
        <v>3.0000000000000001E-3</v>
      </c>
      <c r="I212">
        <v>2.5999999999999999E-2</v>
      </c>
      <c r="J212">
        <v>5.5E-2</v>
      </c>
      <c r="K212">
        <v>500</v>
      </c>
      <c r="L212">
        <v>600</v>
      </c>
      <c r="M212">
        <v>625</v>
      </c>
      <c r="N212">
        <v>0</v>
      </c>
      <c r="O212" s="4">
        <f>_xlfn.XLOOKUP(B212,[1]bus!A:A,[1]bus!K:K,"MISS")</f>
        <v>339.87203474248952</v>
      </c>
      <c r="P212" s="4">
        <f t="shared" si="5"/>
        <v>1019.6161042274686</v>
      </c>
      <c r="Q212">
        <f t="shared" si="6"/>
        <v>1500</v>
      </c>
      <c r="R212">
        <v>1</v>
      </c>
      <c r="S212">
        <f>900000*R212*D212</f>
        <v>16200000</v>
      </c>
    </row>
    <row r="213" spans="1:19" hidden="1" x14ac:dyDescent="0.2">
      <c r="A213" t="s">
        <v>453</v>
      </c>
      <c r="B213">
        <v>318</v>
      </c>
      <c r="C213">
        <v>321</v>
      </c>
      <c r="D213">
        <v>18</v>
      </c>
      <c r="E213">
        <v>0.35</v>
      </c>
      <c r="F213">
        <v>11</v>
      </c>
      <c r="G213">
        <v>0.4</v>
      </c>
      <c r="H213">
        <v>3.0000000000000001E-3</v>
      </c>
      <c r="I213">
        <v>2.5999999999999999E-2</v>
      </c>
      <c r="J213">
        <v>5.5E-2</v>
      </c>
      <c r="K213">
        <v>500</v>
      </c>
      <c r="L213">
        <v>600</v>
      </c>
      <c r="M213">
        <v>625</v>
      </c>
      <c r="N213">
        <v>0</v>
      </c>
      <c r="O213" s="4">
        <f>_xlfn.XLOOKUP(B213,[1]bus!A:A,[1]bus!K:K,"MISS")</f>
        <v>339.87203474248952</v>
      </c>
      <c r="P213" s="4">
        <f t="shared" si="5"/>
        <v>1019.6161042274686</v>
      </c>
      <c r="Q213">
        <f t="shared" si="6"/>
        <v>1500</v>
      </c>
      <c r="R213">
        <v>1</v>
      </c>
      <c r="S213">
        <f>900000*R213*D213</f>
        <v>16200000</v>
      </c>
    </row>
    <row r="214" spans="1:19" hidden="1" x14ac:dyDescent="0.2">
      <c r="A214" t="s">
        <v>454</v>
      </c>
      <c r="B214">
        <v>318</v>
      </c>
      <c r="C214">
        <v>321</v>
      </c>
      <c r="D214">
        <v>18</v>
      </c>
      <c r="E214">
        <v>0.35</v>
      </c>
      <c r="F214">
        <v>11</v>
      </c>
      <c r="G214">
        <v>0.4</v>
      </c>
      <c r="H214">
        <v>3.0000000000000001E-3</v>
      </c>
      <c r="I214">
        <v>2.5999999999999999E-2</v>
      </c>
      <c r="J214">
        <v>5.5E-2</v>
      </c>
      <c r="K214">
        <v>500</v>
      </c>
      <c r="L214">
        <v>600</v>
      </c>
      <c r="M214">
        <v>625</v>
      </c>
      <c r="N214">
        <v>0</v>
      </c>
      <c r="O214" s="4">
        <f>_xlfn.XLOOKUP(B214,[1]bus!A:A,[1]bus!K:K,"MISS")</f>
        <v>339.87203474248952</v>
      </c>
      <c r="P214" s="4">
        <f t="shared" si="5"/>
        <v>1019.6161042274686</v>
      </c>
      <c r="Q214">
        <f t="shared" si="6"/>
        <v>1500</v>
      </c>
      <c r="R214">
        <v>0</v>
      </c>
      <c r="S214">
        <v>-1</v>
      </c>
    </row>
    <row r="215" spans="1:19" hidden="1" x14ac:dyDescent="0.2">
      <c r="A215" t="s">
        <v>455</v>
      </c>
      <c r="B215">
        <v>318</v>
      </c>
      <c r="C215">
        <v>321</v>
      </c>
      <c r="D215">
        <v>18</v>
      </c>
      <c r="E215">
        <v>0.35</v>
      </c>
      <c r="F215">
        <v>11</v>
      </c>
      <c r="G215">
        <v>0.4</v>
      </c>
      <c r="H215">
        <v>3.0000000000000001E-3</v>
      </c>
      <c r="I215">
        <v>2.5999999999999999E-2</v>
      </c>
      <c r="J215">
        <v>5.5E-2</v>
      </c>
      <c r="K215">
        <v>500</v>
      </c>
      <c r="L215">
        <v>600</v>
      </c>
      <c r="M215">
        <v>625</v>
      </c>
      <c r="N215">
        <v>0</v>
      </c>
      <c r="O215" s="4">
        <f>_xlfn.XLOOKUP(B215,[1]bus!A:A,[1]bus!K:K,"MISS")</f>
        <v>339.87203474248952</v>
      </c>
      <c r="P215" s="4">
        <f t="shared" si="5"/>
        <v>1019.6161042274686</v>
      </c>
      <c r="Q215">
        <f t="shared" si="6"/>
        <v>1500</v>
      </c>
      <c r="R215">
        <v>1</v>
      </c>
      <c r="S215">
        <f>900000*R215*D215</f>
        <v>16200000</v>
      </c>
    </row>
    <row r="216" spans="1:19" hidden="1" x14ac:dyDescent="0.2">
      <c r="A216" t="s">
        <v>456</v>
      </c>
      <c r="B216">
        <v>318</v>
      </c>
      <c r="C216">
        <v>321</v>
      </c>
      <c r="D216">
        <v>18</v>
      </c>
      <c r="E216">
        <v>0.35</v>
      </c>
      <c r="F216">
        <v>11</v>
      </c>
      <c r="G216">
        <v>0.4</v>
      </c>
      <c r="H216">
        <v>3.0000000000000001E-3</v>
      </c>
      <c r="I216">
        <v>2.5999999999999999E-2</v>
      </c>
      <c r="J216">
        <v>5.5E-2</v>
      </c>
      <c r="K216">
        <v>500</v>
      </c>
      <c r="L216">
        <v>600</v>
      </c>
      <c r="M216">
        <v>625</v>
      </c>
      <c r="N216">
        <v>0</v>
      </c>
      <c r="O216" s="4">
        <f>_xlfn.XLOOKUP(B216,[1]bus!A:A,[1]bus!K:K,"MISS")</f>
        <v>339.87203474248952</v>
      </c>
      <c r="P216" s="4">
        <f t="shared" si="5"/>
        <v>1019.6161042274686</v>
      </c>
      <c r="Q216">
        <f t="shared" si="6"/>
        <v>1500</v>
      </c>
      <c r="R216">
        <v>1</v>
      </c>
      <c r="S216">
        <f>900000*R216*D216</f>
        <v>16200000</v>
      </c>
    </row>
    <row r="217" spans="1:19" hidden="1" x14ac:dyDescent="0.2">
      <c r="A217" t="s">
        <v>457</v>
      </c>
      <c r="B217">
        <v>319</v>
      </c>
      <c r="C217">
        <v>320</v>
      </c>
      <c r="D217">
        <v>27.5</v>
      </c>
      <c r="E217">
        <v>0.38</v>
      </c>
      <c r="F217">
        <v>11</v>
      </c>
      <c r="G217">
        <v>0.7</v>
      </c>
      <c r="H217">
        <v>5.0000000000000001E-3</v>
      </c>
      <c r="I217">
        <v>0.04</v>
      </c>
      <c r="J217">
        <v>8.3000000000000004E-2</v>
      </c>
      <c r="K217">
        <v>500</v>
      </c>
      <c r="L217">
        <v>600</v>
      </c>
      <c r="M217">
        <v>625</v>
      </c>
      <c r="N217">
        <v>0</v>
      </c>
      <c r="O217" s="4">
        <f>_xlfn.XLOOKUP(B217,[1]bus!A:A,[1]bus!K:K,"MISS")</f>
        <v>184.74306482247175</v>
      </c>
      <c r="P217" s="4">
        <f t="shared" si="5"/>
        <v>554.22919446741525</v>
      </c>
      <c r="Q217">
        <f t="shared" si="6"/>
        <v>1000</v>
      </c>
      <c r="R217">
        <v>0</v>
      </c>
      <c r="S217">
        <v>-1</v>
      </c>
    </row>
    <row r="218" spans="1:19" hidden="1" x14ac:dyDescent="0.2">
      <c r="A218" t="s">
        <v>458</v>
      </c>
      <c r="B218">
        <v>319</v>
      </c>
      <c r="C218">
        <v>320</v>
      </c>
      <c r="D218">
        <v>27.5</v>
      </c>
      <c r="E218">
        <v>0.38</v>
      </c>
      <c r="F218">
        <v>11</v>
      </c>
      <c r="G218">
        <v>0.7</v>
      </c>
      <c r="H218">
        <v>5.0000000000000001E-3</v>
      </c>
      <c r="I218">
        <v>0.04</v>
      </c>
      <c r="J218">
        <v>8.3000000000000004E-2</v>
      </c>
      <c r="K218">
        <v>500</v>
      </c>
      <c r="L218">
        <v>600</v>
      </c>
      <c r="M218">
        <v>625</v>
      </c>
      <c r="N218">
        <v>0</v>
      </c>
      <c r="O218" s="4">
        <f>_xlfn.XLOOKUP(B218,[1]bus!A:A,[1]bus!K:K,"MISS")</f>
        <v>184.74306482247175</v>
      </c>
      <c r="P218" s="4">
        <f t="shared" si="5"/>
        <v>554.22919446741525</v>
      </c>
      <c r="Q218">
        <f t="shared" si="6"/>
        <v>1000</v>
      </c>
      <c r="R218">
        <f>Q217/K217-1</f>
        <v>1</v>
      </c>
      <c r="S218">
        <f>900000*R218*D218</f>
        <v>24750000</v>
      </c>
    </row>
    <row r="219" spans="1:19" hidden="1" x14ac:dyDescent="0.2">
      <c r="A219" t="s">
        <v>459</v>
      </c>
      <c r="B219">
        <v>319</v>
      </c>
      <c r="C219">
        <v>320</v>
      </c>
      <c r="D219">
        <v>27.5</v>
      </c>
      <c r="E219">
        <v>0.38</v>
      </c>
      <c r="F219">
        <v>11</v>
      </c>
      <c r="G219">
        <v>0.7</v>
      </c>
      <c r="H219">
        <v>5.0000000000000001E-3</v>
      </c>
      <c r="I219">
        <v>0.04</v>
      </c>
      <c r="J219">
        <v>8.3000000000000004E-2</v>
      </c>
      <c r="K219">
        <v>500</v>
      </c>
      <c r="L219">
        <v>600</v>
      </c>
      <c r="M219">
        <v>625</v>
      </c>
      <c r="N219">
        <v>0</v>
      </c>
      <c r="O219" s="4">
        <f>_xlfn.XLOOKUP(B219,[1]bus!A:A,[1]bus!K:K,"MISS")</f>
        <v>184.74306482247175</v>
      </c>
      <c r="P219" s="4">
        <f t="shared" si="5"/>
        <v>554.22919446741525</v>
      </c>
      <c r="Q219">
        <f t="shared" si="6"/>
        <v>1000</v>
      </c>
      <c r="R219">
        <v>0</v>
      </c>
      <c r="S219">
        <v>-1</v>
      </c>
    </row>
    <row r="220" spans="1:19" hidden="1" x14ac:dyDescent="0.2">
      <c r="A220" t="s">
        <v>460</v>
      </c>
      <c r="B220">
        <v>319</v>
      </c>
      <c r="C220">
        <v>320</v>
      </c>
      <c r="D220">
        <v>27.5</v>
      </c>
      <c r="E220">
        <v>0.38</v>
      </c>
      <c r="F220">
        <v>11</v>
      </c>
      <c r="G220">
        <v>0.7</v>
      </c>
      <c r="H220">
        <v>5.0000000000000001E-3</v>
      </c>
      <c r="I220">
        <v>0.04</v>
      </c>
      <c r="J220">
        <v>8.3000000000000004E-2</v>
      </c>
      <c r="K220">
        <v>500</v>
      </c>
      <c r="L220">
        <v>600</v>
      </c>
      <c r="M220">
        <v>625</v>
      </c>
      <c r="N220">
        <v>0</v>
      </c>
      <c r="O220" s="4">
        <f>_xlfn.XLOOKUP(B220,[1]bus!A:A,[1]bus!K:K,"MISS")</f>
        <v>184.74306482247175</v>
      </c>
      <c r="P220" s="4">
        <f t="shared" si="5"/>
        <v>554.22919446741525</v>
      </c>
      <c r="Q220">
        <f t="shared" si="6"/>
        <v>1000</v>
      </c>
      <c r="R220">
        <f>Q219/K219-1</f>
        <v>1</v>
      </c>
      <c r="S220">
        <f>900000*R220*D220</f>
        <v>24750000</v>
      </c>
    </row>
    <row r="221" spans="1:19" hidden="1" x14ac:dyDescent="0.2">
      <c r="A221" t="s">
        <v>461</v>
      </c>
      <c r="B221">
        <v>320</v>
      </c>
      <c r="C221">
        <v>323</v>
      </c>
      <c r="D221">
        <v>15</v>
      </c>
      <c r="E221">
        <v>0.34</v>
      </c>
      <c r="F221">
        <v>11</v>
      </c>
      <c r="G221">
        <v>0.4</v>
      </c>
      <c r="H221">
        <v>3.0000000000000001E-3</v>
      </c>
      <c r="I221">
        <v>2.1999999999999999E-2</v>
      </c>
      <c r="J221">
        <v>4.5999999999999999E-2</v>
      </c>
      <c r="K221">
        <v>500</v>
      </c>
      <c r="L221">
        <v>600</v>
      </c>
      <c r="M221">
        <v>625</v>
      </c>
      <c r="N221">
        <v>0</v>
      </c>
      <c r="O221" s="4">
        <f>_xlfn.XLOOKUP(B221,[1]bus!A:A,[1]bus!K:K,"MISS")</f>
        <v>130.61393493804556</v>
      </c>
      <c r="P221" s="4">
        <f t="shared" si="5"/>
        <v>391.84180481413671</v>
      </c>
      <c r="Q221">
        <f t="shared" si="6"/>
        <v>500</v>
      </c>
      <c r="R221">
        <v>0</v>
      </c>
      <c r="S221">
        <v>-1</v>
      </c>
    </row>
    <row r="222" spans="1:19" hidden="1" x14ac:dyDescent="0.2">
      <c r="A222" t="s">
        <v>462</v>
      </c>
      <c r="B222">
        <v>320</v>
      </c>
      <c r="C222">
        <v>323</v>
      </c>
      <c r="D222">
        <v>15</v>
      </c>
      <c r="E222">
        <v>0.34</v>
      </c>
      <c r="F222">
        <v>11</v>
      </c>
      <c r="G222">
        <v>0.4</v>
      </c>
      <c r="H222">
        <v>3.0000000000000001E-3</v>
      </c>
      <c r="I222">
        <v>2.1999999999999999E-2</v>
      </c>
      <c r="J222">
        <v>4.5999999999999999E-2</v>
      </c>
      <c r="K222">
        <v>500</v>
      </c>
      <c r="L222">
        <v>600</v>
      </c>
      <c r="M222">
        <v>625</v>
      </c>
      <c r="N222">
        <v>0</v>
      </c>
      <c r="O222" s="4">
        <f>_xlfn.XLOOKUP(B222,[1]bus!A:A,[1]bus!K:K,"MISS")</f>
        <v>130.61393493804556</v>
      </c>
      <c r="P222" s="4">
        <f t="shared" si="5"/>
        <v>391.84180481413671</v>
      </c>
      <c r="Q222">
        <f t="shared" si="6"/>
        <v>500</v>
      </c>
      <c r="R222">
        <f>Q221/K221-1</f>
        <v>0</v>
      </c>
      <c r="S222">
        <v>-1</v>
      </c>
    </row>
    <row r="223" spans="1:19" hidden="1" x14ac:dyDescent="0.2">
      <c r="A223" t="s">
        <v>463</v>
      </c>
      <c r="B223">
        <v>321</v>
      </c>
      <c r="C223">
        <v>322</v>
      </c>
      <c r="D223">
        <v>47</v>
      </c>
      <c r="E223">
        <v>0.45</v>
      </c>
      <c r="F223">
        <v>11</v>
      </c>
      <c r="G223">
        <v>1.2</v>
      </c>
      <c r="H223">
        <v>8.9999999999999993E-3</v>
      </c>
      <c r="I223">
        <v>6.8000000000000005E-2</v>
      </c>
      <c r="J223">
        <v>0.14199999999999999</v>
      </c>
      <c r="K223">
        <v>500</v>
      </c>
      <c r="L223">
        <v>600</v>
      </c>
      <c r="M223">
        <v>625</v>
      </c>
      <c r="N223">
        <v>0</v>
      </c>
      <c r="O223" s="4">
        <f>_xlfn.XLOOKUP(B223,[1]bus!A:A,[1]bus!K:K,"MISS")</f>
        <v>0</v>
      </c>
      <c r="P223" s="4">
        <f t="shared" si="5"/>
        <v>0</v>
      </c>
      <c r="Q223">
        <f t="shared" si="6"/>
        <v>500</v>
      </c>
      <c r="R223">
        <f>Q222/K222-1</f>
        <v>0</v>
      </c>
      <c r="S223">
        <v>-1</v>
      </c>
    </row>
    <row r="224" spans="1:19" hidden="1" x14ac:dyDescent="0.2">
      <c r="A224" t="s">
        <v>464</v>
      </c>
      <c r="B224">
        <v>325</v>
      </c>
      <c r="C224">
        <v>121</v>
      </c>
      <c r="D224">
        <v>67</v>
      </c>
      <c r="E224">
        <v>0.52</v>
      </c>
      <c r="F224">
        <v>11</v>
      </c>
      <c r="G224">
        <v>1.6</v>
      </c>
      <c r="H224">
        <v>1.2E-2</v>
      </c>
      <c r="I224">
        <v>9.7000000000000003E-2</v>
      </c>
      <c r="J224">
        <v>0.20300000000000001</v>
      </c>
      <c r="K224">
        <v>500</v>
      </c>
      <c r="L224">
        <v>600</v>
      </c>
      <c r="M224">
        <v>625</v>
      </c>
      <c r="N224">
        <v>0</v>
      </c>
      <c r="O224" s="4">
        <f>_xlfn.XLOOKUP(B224,[1]bus!A:A,[1]bus!K:K,"MISS")</f>
        <v>0</v>
      </c>
      <c r="P224" s="4">
        <f t="shared" si="5"/>
        <v>0</v>
      </c>
      <c r="Q224">
        <f t="shared" si="6"/>
        <v>500</v>
      </c>
      <c r="R224">
        <f>Q223/K223-1</f>
        <v>0</v>
      </c>
      <c r="S224">
        <v>-1</v>
      </c>
    </row>
    <row r="225" spans="1:19" hidden="1" x14ac:dyDescent="0.2">
      <c r="A225" t="s">
        <v>465</v>
      </c>
      <c r="B225">
        <v>318</v>
      </c>
      <c r="C225">
        <v>223</v>
      </c>
      <c r="D225">
        <v>72</v>
      </c>
      <c r="E225">
        <v>0.53</v>
      </c>
      <c r="F225">
        <v>11</v>
      </c>
      <c r="G225">
        <v>1.8</v>
      </c>
      <c r="H225">
        <v>1.2999999999999999E-2</v>
      </c>
      <c r="I225">
        <v>0.104</v>
      </c>
      <c r="J225">
        <v>0.218</v>
      </c>
      <c r="K225">
        <v>500</v>
      </c>
      <c r="L225">
        <v>600</v>
      </c>
      <c r="M225">
        <v>625</v>
      </c>
      <c r="N225">
        <v>0</v>
      </c>
      <c r="O225" s="4">
        <f>_xlfn.XLOOKUP(B225,[1]bus!A:A,[1]bus!K:K,"MISS")</f>
        <v>339.87203474248952</v>
      </c>
      <c r="P225" s="4">
        <f t="shared" si="5"/>
        <v>1019.6161042274686</v>
      </c>
      <c r="Q225">
        <f t="shared" si="6"/>
        <v>1500</v>
      </c>
      <c r="R225">
        <f>Q224/K224-1</f>
        <v>0</v>
      </c>
      <c r="S225">
        <v>-1</v>
      </c>
    </row>
    <row r="226" spans="1:19" hidden="1" x14ac:dyDescent="0.2">
      <c r="A226" t="s">
        <v>466</v>
      </c>
      <c r="B226">
        <v>318</v>
      </c>
      <c r="C226">
        <v>223</v>
      </c>
      <c r="D226">
        <v>72</v>
      </c>
      <c r="E226">
        <v>0.53</v>
      </c>
      <c r="F226">
        <v>11</v>
      </c>
      <c r="G226">
        <v>1.8</v>
      </c>
      <c r="H226">
        <v>1.2999999999999999E-2</v>
      </c>
      <c r="I226">
        <v>0.104</v>
      </c>
      <c r="J226">
        <v>0.218</v>
      </c>
      <c r="K226">
        <v>500</v>
      </c>
      <c r="L226">
        <v>600</v>
      </c>
      <c r="M226">
        <v>625</v>
      </c>
      <c r="N226">
        <v>0</v>
      </c>
      <c r="O226" s="4">
        <f>_xlfn.XLOOKUP(B226,[1]bus!A:A,[1]bus!K:K,"MISS")</f>
        <v>339.87203474248952</v>
      </c>
      <c r="P226" s="4">
        <f t="shared" si="5"/>
        <v>1019.6161042274686</v>
      </c>
      <c r="Q226">
        <f t="shared" si="6"/>
        <v>1500</v>
      </c>
      <c r="R226">
        <v>1</v>
      </c>
      <c r="S226">
        <f>900000*R226*D226</f>
        <v>64800000</v>
      </c>
    </row>
    <row r="227" spans="1:19" hidden="1" x14ac:dyDescent="0.2">
      <c r="A227" t="s">
        <v>467</v>
      </c>
      <c r="B227">
        <v>318</v>
      </c>
      <c r="C227">
        <v>223</v>
      </c>
      <c r="D227">
        <v>72</v>
      </c>
      <c r="E227">
        <v>0.53</v>
      </c>
      <c r="F227">
        <v>11</v>
      </c>
      <c r="G227">
        <v>1.8</v>
      </c>
      <c r="H227">
        <v>1.2999999999999999E-2</v>
      </c>
      <c r="I227">
        <v>0.104</v>
      </c>
      <c r="J227">
        <v>0.218</v>
      </c>
      <c r="K227">
        <v>500</v>
      </c>
      <c r="L227">
        <v>600</v>
      </c>
      <c r="M227">
        <v>625</v>
      </c>
      <c r="N227">
        <v>0</v>
      </c>
      <c r="O227" s="4">
        <f>_xlfn.XLOOKUP(B227,[1]bus!A:A,[1]bus!K:K,"MISS")</f>
        <v>339.87203474248952</v>
      </c>
      <c r="P227" s="4">
        <f t="shared" si="5"/>
        <v>1019.6161042274686</v>
      </c>
      <c r="Q227">
        <f t="shared" si="6"/>
        <v>1500</v>
      </c>
      <c r="R227">
        <v>1</v>
      </c>
      <c r="S227">
        <f>900000*R227*D227</f>
        <v>64800000</v>
      </c>
    </row>
    <row r="228" spans="1:19" hidden="1" x14ac:dyDescent="0.2">
      <c r="A228" t="s">
        <v>468</v>
      </c>
      <c r="B228">
        <v>323</v>
      </c>
      <c r="C228">
        <v>325</v>
      </c>
      <c r="D228">
        <v>0</v>
      </c>
      <c r="E228">
        <v>0.02</v>
      </c>
      <c r="F228">
        <v>768</v>
      </c>
      <c r="G228">
        <v>0</v>
      </c>
      <c r="H228">
        <v>0</v>
      </c>
      <c r="I228">
        <v>8.9999999999999993E-3</v>
      </c>
      <c r="J228">
        <v>0</v>
      </c>
      <c r="K228">
        <v>722</v>
      </c>
      <c r="L228">
        <v>893</v>
      </c>
      <c r="M228">
        <v>893</v>
      </c>
      <c r="N228">
        <v>1</v>
      </c>
      <c r="O228" s="4">
        <f>_xlfn.XLOOKUP(B228,[1]bus!A:A,[1]bus!K:K,"MISS")</f>
        <v>0</v>
      </c>
      <c r="P228" s="4">
        <f t="shared" si="5"/>
        <v>0</v>
      </c>
      <c r="Q228">
        <f t="shared" si="6"/>
        <v>722</v>
      </c>
      <c r="R228">
        <v>0</v>
      </c>
      <c r="S228">
        <v>-1</v>
      </c>
    </row>
  </sheetData>
  <autoFilter ref="A1:S228" xr:uid="{2158B039-9129-5D47-B1C1-E2EB2A7BE1E4}">
    <filterColumn colId="1">
      <filters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0"/>
      </filters>
    </filterColumn>
    <filterColumn colId="18">
      <filters>
        <filter val="0"/>
        <filter val="10800000"/>
        <filter val="1200000"/>
        <filter val="12400000"/>
        <filter val="13200000"/>
        <filter val="16200000"/>
        <filter val="16800000"/>
        <filter val="17200000"/>
        <filter val="20000000"/>
        <filter val="22000000"/>
        <filter val="24300000"/>
        <filter val="24750000"/>
        <filter val="2700000"/>
        <filter val="30600000"/>
        <filter val="32400000"/>
        <filter val="46800000"/>
        <filter val="54000000"/>
        <filter val="6400000"/>
        <filter val="64800000"/>
        <filter val="8800000"/>
        <filter val="92000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5245-0C41-1342-B2C4-515411C47CEC}">
  <sheetPr filterMode="1"/>
  <dimension ref="A1:K74"/>
  <sheetViews>
    <sheetView workbookViewId="0">
      <selection activeCell="A2" sqref="A2:A59"/>
    </sheetView>
  </sheetViews>
  <sheetFormatPr baseColWidth="10" defaultColWidth="11" defaultRowHeight="16" x14ac:dyDescent="0.2"/>
  <cols>
    <col min="6" max="6" width="11.1640625" customWidth="1"/>
    <col min="11" max="11" width="12.83203125" customWidth="1"/>
  </cols>
  <sheetData>
    <row r="1" spans="1:11" x14ac:dyDescent="0.2">
      <c r="A1" s="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s="5" t="s">
        <v>229</v>
      </c>
    </row>
    <row r="2" spans="1:11" x14ac:dyDescent="0.2">
      <c r="A2">
        <v>101</v>
      </c>
      <c r="B2" t="s">
        <v>144</v>
      </c>
      <c r="C2">
        <v>2</v>
      </c>
      <c r="D2">
        <v>108</v>
      </c>
      <c r="E2">
        <v>22</v>
      </c>
      <c r="F2">
        <v>0</v>
      </c>
      <c r="G2">
        <v>0</v>
      </c>
      <c r="H2">
        <v>11</v>
      </c>
      <c r="I2">
        <v>138</v>
      </c>
      <c r="J2">
        <v>11</v>
      </c>
      <c r="K2" s="4">
        <f>_xlfn.LET(_xlpm.MW,D2,_xlpm.MVAR,E2,SQRT(_xlpm.MW^2+_xlpm.MVAR^2))</f>
        <v>110.21796586763884</v>
      </c>
    </row>
    <row r="3" spans="1:11" x14ac:dyDescent="0.2">
      <c r="A3">
        <v>102</v>
      </c>
      <c r="B3" t="s">
        <v>145</v>
      </c>
      <c r="C3">
        <v>2</v>
      </c>
      <c r="D3">
        <v>97</v>
      </c>
      <c r="E3">
        <v>20</v>
      </c>
      <c r="F3">
        <v>0</v>
      </c>
      <c r="G3">
        <v>0</v>
      </c>
      <c r="H3">
        <v>11</v>
      </c>
      <c r="I3">
        <v>138</v>
      </c>
      <c r="J3">
        <v>12</v>
      </c>
      <c r="K3" s="4">
        <f t="shared" ref="K3:K66" si="0">_xlfn.LET(_xlpm.MW,D3,_xlpm.MVAR,E3,SQRT(_xlpm.MW^2+_xlpm.MVAR^2))</f>
        <v>99.040395798886024</v>
      </c>
    </row>
    <row r="4" spans="1:11" x14ac:dyDescent="0.2">
      <c r="A4">
        <v>103</v>
      </c>
      <c r="B4" t="s">
        <v>146</v>
      </c>
      <c r="C4">
        <v>1</v>
      </c>
      <c r="D4">
        <v>180</v>
      </c>
      <c r="E4">
        <v>37</v>
      </c>
      <c r="F4">
        <v>0</v>
      </c>
      <c r="G4">
        <v>0</v>
      </c>
      <c r="H4">
        <v>11</v>
      </c>
      <c r="I4">
        <v>138</v>
      </c>
      <c r="J4">
        <v>11</v>
      </c>
      <c r="K4" s="4">
        <f>_xlfn.LET(_xlpm.MW,D4,_xlpm.MVAR,E4,SQRT(_xlpm.MW^2+_xlpm.MVAR^2))</f>
        <v>183.76343488300387</v>
      </c>
    </row>
    <row r="5" spans="1:11" x14ac:dyDescent="0.2">
      <c r="A5">
        <v>104</v>
      </c>
      <c r="B5" t="s">
        <v>147</v>
      </c>
      <c r="C5">
        <v>1</v>
      </c>
      <c r="D5">
        <v>74</v>
      </c>
      <c r="E5">
        <v>15</v>
      </c>
      <c r="F5">
        <v>0</v>
      </c>
      <c r="G5">
        <v>0</v>
      </c>
      <c r="H5">
        <v>11</v>
      </c>
      <c r="I5">
        <v>138</v>
      </c>
      <c r="J5">
        <v>11</v>
      </c>
      <c r="K5" s="4">
        <f t="shared" si="0"/>
        <v>75.504966724050675</v>
      </c>
    </row>
    <row r="6" spans="1:11" x14ac:dyDescent="0.2">
      <c r="A6">
        <v>105</v>
      </c>
      <c r="B6" t="s">
        <v>148</v>
      </c>
      <c r="C6">
        <v>1</v>
      </c>
      <c r="D6">
        <v>71</v>
      </c>
      <c r="E6">
        <v>14</v>
      </c>
      <c r="F6">
        <v>0</v>
      </c>
      <c r="G6">
        <v>0</v>
      </c>
      <c r="H6">
        <v>11</v>
      </c>
      <c r="I6">
        <v>138</v>
      </c>
      <c r="J6">
        <v>11</v>
      </c>
      <c r="K6" s="6">
        <f t="shared" si="0"/>
        <v>72.367119605522504</v>
      </c>
    </row>
    <row r="7" spans="1:11" x14ac:dyDescent="0.2">
      <c r="A7">
        <v>106</v>
      </c>
      <c r="B7" t="s">
        <v>149</v>
      </c>
      <c r="C7">
        <v>1</v>
      </c>
      <c r="D7">
        <v>136</v>
      </c>
      <c r="E7">
        <v>28</v>
      </c>
      <c r="F7">
        <v>0</v>
      </c>
      <c r="G7">
        <v>1</v>
      </c>
      <c r="H7">
        <v>11</v>
      </c>
      <c r="I7">
        <v>138</v>
      </c>
      <c r="J7">
        <v>12</v>
      </c>
      <c r="K7" s="6">
        <f t="shared" si="0"/>
        <v>138.85243966167826</v>
      </c>
    </row>
    <row r="8" spans="1:11" x14ac:dyDescent="0.2">
      <c r="A8">
        <v>107</v>
      </c>
      <c r="B8" t="s">
        <v>150</v>
      </c>
      <c r="C8">
        <v>2</v>
      </c>
      <c r="D8">
        <v>125</v>
      </c>
      <c r="E8">
        <v>25</v>
      </c>
      <c r="F8">
        <v>0</v>
      </c>
      <c r="G8">
        <v>0</v>
      </c>
      <c r="H8">
        <v>11</v>
      </c>
      <c r="I8">
        <v>138</v>
      </c>
      <c r="J8">
        <v>12</v>
      </c>
      <c r="K8" s="4">
        <f t="shared" si="0"/>
        <v>127.47548783981962</v>
      </c>
    </row>
    <row r="9" spans="1:11" x14ac:dyDescent="0.2">
      <c r="A9">
        <v>108</v>
      </c>
      <c r="B9" t="s">
        <v>151</v>
      </c>
      <c r="C9">
        <v>1</v>
      </c>
      <c r="D9">
        <v>171</v>
      </c>
      <c r="E9">
        <v>35</v>
      </c>
      <c r="F9">
        <v>0</v>
      </c>
      <c r="G9">
        <v>0</v>
      </c>
      <c r="H9">
        <v>11</v>
      </c>
      <c r="I9">
        <v>138</v>
      </c>
      <c r="J9">
        <v>12</v>
      </c>
      <c r="K9" s="4">
        <f t="shared" si="0"/>
        <v>174.54512310574592</v>
      </c>
    </row>
    <row r="10" spans="1:11" x14ac:dyDescent="0.2">
      <c r="A10">
        <v>109</v>
      </c>
      <c r="B10" t="s">
        <v>152</v>
      </c>
      <c r="C10">
        <v>1</v>
      </c>
      <c r="D10">
        <v>175</v>
      </c>
      <c r="E10">
        <v>36</v>
      </c>
      <c r="F10">
        <v>0</v>
      </c>
      <c r="G10">
        <v>0</v>
      </c>
      <c r="H10">
        <v>11</v>
      </c>
      <c r="I10">
        <v>138</v>
      </c>
      <c r="J10">
        <v>13</v>
      </c>
      <c r="K10" s="4">
        <f t="shared" si="0"/>
        <v>178.66449003649271</v>
      </c>
    </row>
    <row r="11" spans="1:11" x14ac:dyDescent="0.2">
      <c r="A11">
        <v>110</v>
      </c>
      <c r="B11" t="s">
        <v>153</v>
      </c>
      <c r="C11">
        <v>1</v>
      </c>
      <c r="D11">
        <v>195</v>
      </c>
      <c r="E11">
        <v>40</v>
      </c>
      <c r="F11">
        <v>0</v>
      </c>
      <c r="G11">
        <v>0</v>
      </c>
      <c r="H11">
        <v>11</v>
      </c>
      <c r="I11">
        <v>138</v>
      </c>
      <c r="J11">
        <v>13</v>
      </c>
      <c r="K11" s="4">
        <f t="shared" si="0"/>
        <v>199.06029237394384</v>
      </c>
    </row>
    <row r="12" spans="1:11" hidden="1" x14ac:dyDescent="0.2">
      <c r="A12">
        <v>111</v>
      </c>
      <c r="B12" t="s">
        <v>154</v>
      </c>
      <c r="C12">
        <v>1</v>
      </c>
      <c r="D12">
        <v>0</v>
      </c>
      <c r="E12">
        <v>0</v>
      </c>
      <c r="F12">
        <v>0</v>
      </c>
      <c r="G12">
        <v>0</v>
      </c>
      <c r="H12">
        <v>11</v>
      </c>
      <c r="I12">
        <v>230</v>
      </c>
      <c r="J12">
        <v>13</v>
      </c>
      <c r="K12" s="4">
        <f t="shared" si="0"/>
        <v>0</v>
      </c>
    </row>
    <row r="13" spans="1:11" hidden="1" x14ac:dyDescent="0.2">
      <c r="A13">
        <v>112</v>
      </c>
      <c r="B13" t="s">
        <v>155</v>
      </c>
      <c r="C13">
        <v>1</v>
      </c>
      <c r="D13">
        <v>0</v>
      </c>
      <c r="E13">
        <v>0</v>
      </c>
      <c r="F13">
        <v>0</v>
      </c>
      <c r="G13">
        <v>0</v>
      </c>
      <c r="H13">
        <v>11</v>
      </c>
      <c r="I13">
        <v>230</v>
      </c>
      <c r="J13">
        <v>13</v>
      </c>
      <c r="K13" s="4">
        <f t="shared" si="0"/>
        <v>0</v>
      </c>
    </row>
    <row r="14" spans="1:11" hidden="1" x14ac:dyDescent="0.2">
      <c r="A14">
        <v>113</v>
      </c>
      <c r="B14" t="s">
        <v>156</v>
      </c>
      <c r="C14">
        <v>3</v>
      </c>
      <c r="D14">
        <v>265</v>
      </c>
      <c r="E14">
        <v>54</v>
      </c>
      <c r="F14">
        <v>0</v>
      </c>
      <c r="G14">
        <v>0</v>
      </c>
      <c r="H14">
        <v>12</v>
      </c>
      <c r="I14">
        <v>230</v>
      </c>
      <c r="J14">
        <v>14</v>
      </c>
      <c r="K14" s="4">
        <f t="shared" si="0"/>
        <v>270.44592805217093</v>
      </c>
    </row>
    <row r="15" spans="1:11" hidden="1" x14ac:dyDescent="0.2">
      <c r="A15">
        <v>114</v>
      </c>
      <c r="B15" t="s">
        <v>157</v>
      </c>
      <c r="C15">
        <v>2</v>
      </c>
      <c r="D15">
        <v>194</v>
      </c>
      <c r="E15">
        <v>39</v>
      </c>
      <c r="F15">
        <v>0</v>
      </c>
      <c r="G15">
        <v>0</v>
      </c>
      <c r="H15">
        <v>12</v>
      </c>
      <c r="I15">
        <v>230</v>
      </c>
      <c r="J15">
        <v>16</v>
      </c>
      <c r="K15" s="4">
        <f t="shared" si="0"/>
        <v>197.88127753782064</v>
      </c>
    </row>
    <row r="16" spans="1:11" hidden="1" x14ac:dyDescent="0.2">
      <c r="A16">
        <v>115</v>
      </c>
      <c r="B16" t="s">
        <v>158</v>
      </c>
      <c r="C16">
        <v>2</v>
      </c>
      <c r="D16">
        <v>317</v>
      </c>
      <c r="E16">
        <v>64</v>
      </c>
      <c r="F16">
        <v>0</v>
      </c>
      <c r="G16">
        <v>0</v>
      </c>
      <c r="H16">
        <v>12</v>
      </c>
      <c r="I16">
        <v>230</v>
      </c>
      <c r="J16">
        <v>16</v>
      </c>
      <c r="K16" s="4">
        <f t="shared" si="0"/>
        <v>323.39604202896487</v>
      </c>
    </row>
    <row r="17" spans="1:11" hidden="1" x14ac:dyDescent="0.2">
      <c r="A17">
        <v>116</v>
      </c>
      <c r="B17" t="s">
        <v>159</v>
      </c>
      <c r="C17">
        <v>2</v>
      </c>
      <c r="D17">
        <v>100</v>
      </c>
      <c r="E17">
        <v>20</v>
      </c>
      <c r="F17">
        <v>0</v>
      </c>
      <c r="G17">
        <v>0</v>
      </c>
      <c r="H17">
        <v>12</v>
      </c>
      <c r="I17">
        <v>230</v>
      </c>
      <c r="J17">
        <v>16</v>
      </c>
      <c r="K17" s="4">
        <f t="shared" si="0"/>
        <v>101.9803902718557</v>
      </c>
    </row>
    <row r="18" spans="1:11" hidden="1" x14ac:dyDescent="0.2">
      <c r="A18">
        <v>117</v>
      </c>
      <c r="B18" t="s">
        <v>160</v>
      </c>
      <c r="C18">
        <v>1</v>
      </c>
      <c r="D18">
        <v>0</v>
      </c>
      <c r="E18">
        <v>0</v>
      </c>
      <c r="F18">
        <v>0</v>
      </c>
      <c r="G18">
        <v>0</v>
      </c>
      <c r="H18">
        <v>12</v>
      </c>
      <c r="I18">
        <v>230</v>
      </c>
      <c r="J18">
        <v>17</v>
      </c>
      <c r="K18" s="4">
        <f t="shared" si="0"/>
        <v>0</v>
      </c>
    </row>
    <row r="19" spans="1:11" hidden="1" x14ac:dyDescent="0.2">
      <c r="A19">
        <v>118</v>
      </c>
      <c r="B19" t="s">
        <v>161</v>
      </c>
      <c r="C19">
        <v>2</v>
      </c>
      <c r="D19">
        <v>333</v>
      </c>
      <c r="E19">
        <v>68</v>
      </c>
      <c r="F19">
        <v>0</v>
      </c>
      <c r="G19">
        <v>0</v>
      </c>
      <c r="H19">
        <v>12</v>
      </c>
      <c r="I19">
        <v>230</v>
      </c>
      <c r="J19">
        <v>17</v>
      </c>
      <c r="K19" s="4">
        <f t="shared" si="0"/>
        <v>339.87203474248952</v>
      </c>
    </row>
    <row r="20" spans="1:11" hidden="1" x14ac:dyDescent="0.2">
      <c r="A20">
        <v>119</v>
      </c>
      <c r="B20" t="s">
        <v>162</v>
      </c>
      <c r="C20">
        <v>1</v>
      </c>
      <c r="D20">
        <v>181</v>
      </c>
      <c r="E20">
        <v>37</v>
      </c>
      <c r="F20">
        <v>0</v>
      </c>
      <c r="G20">
        <v>0</v>
      </c>
      <c r="H20">
        <v>12</v>
      </c>
      <c r="I20">
        <v>230</v>
      </c>
      <c r="J20">
        <v>15</v>
      </c>
      <c r="K20" s="4">
        <f t="shared" si="0"/>
        <v>184.74306482247175</v>
      </c>
    </row>
    <row r="21" spans="1:11" hidden="1" x14ac:dyDescent="0.2">
      <c r="A21">
        <v>120</v>
      </c>
      <c r="B21" t="s">
        <v>163</v>
      </c>
      <c r="C21">
        <v>1</v>
      </c>
      <c r="D21">
        <v>128</v>
      </c>
      <c r="E21">
        <v>26</v>
      </c>
      <c r="F21">
        <v>0</v>
      </c>
      <c r="G21">
        <v>0</v>
      </c>
      <c r="H21">
        <v>12</v>
      </c>
      <c r="I21">
        <v>230</v>
      </c>
      <c r="J21">
        <v>15</v>
      </c>
      <c r="K21" s="4">
        <f t="shared" si="0"/>
        <v>130.61393493804556</v>
      </c>
    </row>
    <row r="22" spans="1:11" hidden="1" x14ac:dyDescent="0.2">
      <c r="A22">
        <v>121</v>
      </c>
      <c r="B22" t="s">
        <v>164</v>
      </c>
      <c r="C22">
        <v>2</v>
      </c>
      <c r="D22">
        <v>0</v>
      </c>
      <c r="E22">
        <v>0</v>
      </c>
      <c r="F22">
        <v>0</v>
      </c>
      <c r="G22">
        <v>0</v>
      </c>
      <c r="H22">
        <v>12</v>
      </c>
      <c r="I22">
        <v>230</v>
      </c>
      <c r="J22">
        <v>17</v>
      </c>
      <c r="K22" s="4">
        <f t="shared" si="0"/>
        <v>0</v>
      </c>
    </row>
    <row r="23" spans="1:11" hidden="1" x14ac:dyDescent="0.2">
      <c r="A23">
        <v>122</v>
      </c>
      <c r="B23" t="s">
        <v>165</v>
      </c>
      <c r="C23">
        <v>2</v>
      </c>
      <c r="D23">
        <v>0</v>
      </c>
      <c r="E23">
        <v>0</v>
      </c>
      <c r="F23">
        <v>0</v>
      </c>
      <c r="G23">
        <v>0</v>
      </c>
      <c r="H23">
        <v>12</v>
      </c>
      <c r="I23">
        <v>230</v>
      </c>
      <c r="J23">
        <v>17</v>
      </c>
      <c r="K23" s="4">
        <f t="shared" si="0"/>
        <v>0</v>
      </c>
    </row>
    <row r="24" spans="1:11" hidden="1" x14ac:dyDescent="0.2">
      <c r="A24">
        <v>123</v>
      </c>
      <c r="B24" t="s">
        <v>166</v>
      </c>
      <c r="C24">
        <v>2</v>
      </c>
      <c r="D24">
        <v>0</v>
      </c>
      <c r="E24">
        <v>0</v>
      </c>
      <c r="F24">
        <v>0</v>
      </c>
      <c r="G24">
        <v>0</v>
      </c>
      <c r="H24">
        <v>12</v>
      </c>
      <c r="I24">
        <v>230</v>
      </c>
      <c r="J24">
        <v>15</v>
      </c>
      <c r="K24" s="4">
        <f t="shared" si="0"/>
        <v>0</v>
      </c>
    </row>
    <row r="25" spans="1:11" hidden="1" x14ac:dyDescent="0.2">
      <c r="A25">
        <v>124</v>
      </c>
      <c r="B25" t="s">
        <v>167</v>
      </c>
      <c r="C25">
        <v>1</v>
      </c>
      <c r="D25">
        <v>0</v>
      </c>
      <c r="E25">
        <v>0</v>
      </c>
      <c r="F25">
        <v>0</v>
      </c>
      <c r="G25">
        <v>0</v>
      </c>
      <c r="H25">
        <v>12</v>
      </c>
      <c r="I25">
        <v>230</v>
      </c>
      <c r="J25">
        <v>16</v>
      </c>
      <c r="K25" s="4">
        <f t="shared" si="0"/>
        <v>0</v>
      </c>
    </row>
    <row r="26" spans="1:11" x14ac:dyDescent="0.2">
      <c r="A26">
        <v>201</v>
      </c>
      <c r="B26" t="s">
        <v>168</v>
      </c>
      <c r="C26">
        <v>2</v>
      </c>
      <c r="D26">
        <v>108</v>
      </c>
      <c r="E26">
        <v>22</v>
      </c>
      <c r="F26">
        <v>0</v>
      </c>
      <c r="G26">
        <v>0</v>
      </c>
      <c r="H26">
        <v>21</v>
      </c>
      <c r="I26">
        <v>138</v>
      </c>
      <c r="J26">
        <v>21</v>
      </c>
      <c r="K26" s="4">
        <f t="shared" si="0"/>
        <v>110.21796586763884</v>
      </c>
    </row>
    <row r="27" spans="1:11" x14ac:dyDescent="0.2">
      <c r="A27">
        <v>202</v>
      </c>
      <c r="B27" t="s">
        <v>169</v>
      </c>
      <c r="C27">
        <v>2</v>
      </c>
      <c r="D27">
        <v>97</v>
      </c>
      <c r="E27">
        <v>20</v>
      </c>
      <c r="F27">
        <v>0</v>
      </c>
      <c r="G27">
        <v>0</v>
      </c>
      <c r="H27">
        <v>21</v>
      </c>
      <c r="I27">
        <v>138</v>
      </c>
      <c r="J27">
        <v>22</v>
      </c>
      <c r="K27" s="4">
        <f t="shared" si="0"/>
        <v>99.040395798886024</v>
      </c>
    </row>
    <row r="28" spans="1:11" x14ac:dyDescent="0.2">
      <c r="A28">
        <v>203</v>
      </c>
      <c r="B28" t="s">
        <v>170</v>
      </c>
      <c r="C28">
        <v>1</v>
      </c>
      <c r="D28">
        <v>180</v>
      </c>
      <c r="E28">
        <v>37</v>
      </c>
      <c r="F28">
        <v>0</v>
      </c>
      <c r="G28">
        <v>0</v>
      </c>
      <c r="H28">
        <v>21</v>
      </c>
      <c r="I28">
        <v>138</v>
      </c>
      <c r="J28">
        <v>21</v>
      </c>
      <c r="K28" s="4">
        <f t="shared" si="0"/>
        <v>183.76343488300387</v>
      </c>
    </row>
    <row r="29" spans="1:11" x14ac:dyDescent="0.2">
      <c r="A29">
        <v>204</v>
      </c>
      <c r="B29" t="s">
        <v>171</v>
      </c>
      <c r="C29">
        <v>1</v>
      </c>
      <c r="D29">
        <v>74</v>
      </c>
      <c r="E29">
        <v>15</v>
      </c>
      <c r="F29">
        <v>0</v>
      </c>
      <c r="G29">
        <v>0</v>
      </c>
      <c r="H29">
        <v>21</v>
      </c>
      <c r="I29">
        <v>138</v>
      </c>
      <c r="J29">
        <v>21</v>
      </c>
      <c r="K29" s="4">
        <f t="shared" si="0"/>
        <v>75.504966724050675</v>
      </c>
    </row>
    <row r="30" spans="1:11" x14ac:dyDescent="0.2">
      <c r="A30">
        <v>205</v>
      </c>
      <c r="B30" t="s">
        <v>172</v>
      </c>
      <c r="C30">
        <v>1</v>
      </c>
      <c r="D30">
        <v>71</v>
      </c>
      <c r="E30">
        <v>14</v>
      </c>
      <c r="F30">
        <v>0</v>
      </c>
      <c r="G30">
        <v>0</v>
      </c>
      <c r="H30">
        <v>21</v>
      </c>
      <c r="I30">
        <v>138</v>
      </c>
      <c r="J30">
        <v>21</v>
      </c>
      <c r="K30" s="4">
        <f t="shared" si="0"/>
        <v>72.367119605522504</v>
      </c>
    </row>
    <row r="31" spans="1:11" x14ac:dyDescent="0.2">
      <c r="A31">
        <v>206</v>
      </c>
      <c r="B31" t="s">
        <v>173</v>
      </c>
      <c r="C31">
        <v>1</v>
      </c>
      <c r="D31">
        <v>136</v>
      </c>
      <c r="E31">
        <v>28</v>
      </c>
      <c r="F31">
        <v>0</v>
      </c>
      <c r="G31">
        <v>1</v>
      </c>
      <c r="H31">
        <v>21</v>
      </c>
      <c r="I31">
        <v>138</v>
      </c>
      <c r="J31">
        <v>22</v>
      </c>
      <c r="K31" s="4">
        <f t="shared" si="0"/>
        <v>138.85243966167826</v>
      </c>
    </row>
    <row r="32" spans="1:11" x14ac:dyDescent="0.2">
      <c r="A32">
        <v>207</v>
      </c>
      <c r="B32" t="s">
        <v>174</v>
      </c>
      <c r="C32">
        <v>2</v>
      </c>
      <c r="D32">
        <v>125</v>
      </c>
      <c r="E32">
        <v>25</v>
      </c>
      <c r="F32">
        <v>0</v>
      </c>
      <c r="G32">
        <v>0</v>
      </c>
      <c r="H32">
        <v>21</v>
      </c>
      <c r="I32">
        <v>138</v>
      </c>
      <c r="J32">
        <v>22</v>
      </c>
      <c r="K32" s="4">
        <f t="shared" si="0"/>
        <v>127.47548783981962</v>
      </c>
    </row>
    <row r="33" spans="1:11" x14ac:dyDescent="0.2">
      <c r="A33">
        <v>208</v>
      </c>
      <c r="B33" t="s">
        <v>175</v>
      </c>
      <c r="C33">
        <v>1</v>
      </c>
      <c r="D33">
        <v>171</v>
      </c>
      <c r="E33">
        <v>35</v>
      </c>
      <c r="F33">
        <v>0</v>
      </c>
      <c r="G33">
        <v>0</v>
      </c>
      <c r="H33">
        <v>21</v>
      </c>
      <c r="I33">
        <v>138</v>
      </c>
      <c r="J33">
        <v>22</v>
      </c>
      <c r="K33" s="4">
        <f t="shared" si="0"/>
        <v>174.54512310574592</v>
      </c>
    </row>
    <row r="34" spans="1:11" x14ac:dyDescent="0.2">
      <c r="A34">
        <v>209</v>
      </c>
      <c r="B34" t="s">
        <v>176</v>
      </c>
      <c r="C34">
        <v>1</v>
      </c>
      <c r="D34">
        <v>175</v>
      </c>
      <c r="E34">
        <v>36</v>
      </c>
      <c r="F34">
        <v>0</v>
      </c>
      <c r="G34">
        <v>0</v>
      </c>
      <c r="H34">
        <v>21</v>
      </c>
      <c r="I34">
        <v>138</v>
      </c>
      <c r="J34">
        <v>23</v>
      </c>
      <c r="K34" s="4">
        <f t="shared" si="0"/>
        <v>178.66449003649271</v>
      </c>
    </row>
    <row r="35" spans="1:11" x14ac:dyDescent="0.2">
      <c r="A35">
        <v>210</v>
      </c>
      <c r="B35" t="s">
        <v>177</v>
      </c>
      <c r="C35">
        <v>1</v>
      </c>
      <c r="D35">
        <v>195</v>
      </c>
      <c r="E35">
        <v>40</v>
      </c>
      <c r="F35">
        <v>0</v>
      </c>
      <c r="G35">
        <v>0</v>
      </c>
      <c r="H35">
        <v>21</v>
      </c>
      <c r="I35">
        <v>138</v>
      </c>
      <c r="J35">
        <v>23</v>
      </c>
      <c r="K35" s="4">
        <f t="shared" si="0"/>
        <v>199.06029237394384</v>
      </c>
    </row>
    <row r="36" spans="1:11" hidden="1" x14ac:dyDescent="0.2">
      <c r="A36">
        <v>211</v>
      </c>
      <c r="B36" t="s">
        <v>178</v>
      </c>
      <c r="C36">
        <v>1</v>
      </c>
      <c r="D36">
        <v>0</v>
      </c>
      <c r="E36">
        <v>0</v>
      </c>
      <c r="F36">
        <v>0</v>
      </c>
      <c r="G36">
        <v>0</v>
      </c>
      <c r="H36">
        <v>21</v>
      </c>
      <c r="I36">
        <v>230</v>
      </c>
      <c r="J36">
        <v>23</v>
      </c>
      <c r="K36" s="4">
        <f t="shared" si="0"/>
        <v>0</v>
      </c>
    </row>
    <row r="37" spans="1:11" hidden="1" x14ac:dyDescent="0.2">
      <c r="A37">
        <v>212</v>
      </c>
      <c r="B37" t="s">
        <v>179</v>
      </c>
      <c r="C37">
        <v>1</v>
      </c>
      <c r="D37">
        <v>0</v>
      </c>
      <c r="E37">
        <v>0</v>
      </c>
      <c r="F37">
        <v>0</v>
      </c>
      <c r="G37">
        <v>0</v>
      </c>
      <c r="H37">
        <v>21</v>
      </c>
      <c r="I37">
        <v>230</v>
      </c>
      <c r="J37">
        <v>23</v>
      </c>
      <c r="K37" s="4">
        <f t="shared" si="0"/>
        <v>0</v>
      </c>
    </row>
    <row r="38" spans="1:11" hidden="1" x14ac:dyDescent="0.2">
      <c r="A38">
        <v>213</v>
      </c>
      <c r="B38" t="s">
        <v>180</v>
      </c>
      <c r="C38">
        <v>2</v>
      </c>
      <c r="D38">
        <v>265</v>
      </c>
      <c r="E38">
        <v>54</v>
      </c>
      <c r="F38">
        <v>0</v>
      </c>
      <c r="G38">
        <v>0</v>
      </c>
      <c r="H38">
        <v>22</v>
      </c>
      <c r="I38">
        <v>230</v>
      </c>
      <c r="J38">
        <v>24</v>
      </c>
      <c r="K38" s="4">
        <f t="shared" si="0"/>
        <v>270.44592805217093</v>
      </c>
    </row>
    <row r="39" spans="1:11" hidden="1" x14ac:dyDescent="0.2">
      <c r="A39">
        <v>214</v>
      </c>
      <c r="B39" t="s">
        <v>181</v>
      </c>
      <c r="C39">
        <v>2</v>
      </c>
      <c r="D39">
        <v>194</v>
      </c>
      <c r="E39">
        <v>39</v>
      </c>
      <c r="F39">
        <v>0</v>
      </c>
      <c r="G39">
        <v>0</v>
      </c>
      <c r="H39">
        <v>22</v>
      </c>
      <c r="I39">
        <v>230</v>
      </c>
      <c r="J39">
        <v>26</v>
      </c>
      <c r="K39" s="4">
        <f t="shared" si="0"/>
        <v>197.88127753782064</v>
      </c>
    </row>
    <row r="40" spans="1:11" hidden="1" x14ac:dyDescent="0.2">
      <c r="A40">
        <v>215</v>
      </c>
      <c r="B40" t="s">
        <v>182</v>
      </c>
      <c r="C40">
        <v>2</v>
      </c>
      <c r="D40">
        <v>317</v>
      </c>
      <c r="E40">
        <v>64</v>
      </c>
      <c r="F40">
        <v>0</v>
      </c>
      <c r="G40">
        <v>0</v>
      </c>
      <c r="H40">
        <v>22</v>
      </c>
      <c r="I40">
        <v>230</v>
      </c>
      <c r="J40">
        <v>26</v>
      </c>
      <c r="K40" s="4">
        <f t="shared" si="0"/>
        <v>323.39604202896487</v>
      </c>
    </row>
    <row r="41" spans="1:11" hidden="1" x14ac:dyDescent="0.2">
      <c r="A41">
        <v>216</v>
      </c>
      <c r="B41" t="s">
        <v>183</v>
      </c>
      <c r="C41">
        <v>2</v>
      </c>
      <c r="D41">
        <v>100</v>
      </c>
      <c r="E41">
        <v>20</v>
      </c>
      <c r="F41">
        <v>0</v>
      </c>
      <c r="G41">
        <v>0</v>
      </c>
      <c r="H41">
        <v>22</v>
      </c>
      <c r="I41">
        <v>230</v>
      </c>
      <c r="J41">
        <v>26</v>
      </c>
      <c r="K41" s="4">
        <f t="shared" si="0"/>
        <v>101.9803902718557</v>
      </c>
    </row>
    <row r="42" spans="1:11" hidden="1" x14ac:dyDescent="0.2">
      <c r="A42">
        <v>217</v>
      </c>
      <c r="B42" t="s">
        <v>184</v>
      </c>
      <c r="C42">
        <v>1</v>
      </c>
      <c r="D42">
        <v>0</v>
      </c>
      <c r="E42">
        <v>0</v>
      </c>
      <c r="F42">
        <v>0</v>
      </c>
      <c r="G42">
        <v>0</v>
      </c>
      <c r="H42">
        <v>22</v>
      </c>
      <c r="I42">
        <v>230</v>
      </c>
      <c r="J42">
        <v>27</v>
      </c>
      <c r="K42" s="4">
        <f t="shared" si="0"/>
        <v>0</v>
      </c>
    </row>
    <row r="43" spans="1:11" hidden="1" x14ac:dyDescent="0.2">
      <c r="A43">
        <v>218</v>
      </c>
      <c r="B43" t="s">
        <v>185</v>
      </c>
      <c r="C43">
        <v>2</v>
      </c>
      <c r="D43">
        <v>333</v>
      </c>
      <c r="E43">
        <v>68</v>
      </c>
      <c r="F43">
        <v>0</v>
      </c>
      <c r="G43">
        <v>0</v>
      </c>
      <c r="H43">
        <v>22</v>
      </c>
      <c r="I43">
        <v>230</v>
      </c>
      <c r="J43">
        <v>27</v>
      </c>
      <c r="K43" s="4">
        <f t="shared" si="0"/>
        <v>339.87203474248952</v>
      </c>
    </row>
    <row r="44" spans="1:11" hidden="1" x14ac:dyDescent="0.2">
      <c r="A44">
        <v>219</v>
      </c>
      <c r="B44" t="s">
        <v>186</v>
      </c>
      <c r="C44">
        <v>1</v>
      </c>
      <c r="D44">
        <v>181</v>
      </c>
      <c r="E44">
        <v>37</v>
      </c>
      <c r="F44">
        <v>0</v>
      </c>
      <c r="G44">
        <v>0</v>
      </c>
      <c r="H44">
        <v>22</v>
      </c>
      <c r="I44">
        <v>230</v>
      </c>
      <c r="J44">
        <v>25</v>
      </c>
      <c r="K44" s="4">
        <f t="shared" si="0"/>
        <v>184.74306482247175</v>
      </c>
    </row>
    <row r="45" spans="1:11" hidden="1" x14ac:dyDescent="0.2">
      <c r="A45">
        <v>220</v>
      </c>
      <c r="B45" t="s">
        <v>187</v>
      </c>
      <c r="C45">
        <v>1</v>
      </c>
      <c r="D45">
        <v>128</v>
      </c>
      <c r="E45">
        <v>26</v>
      </c>
      <c r="F45">
        <v>0</v>
      </c>
      <c r="G45">
        <v>0</v>
      </c>
      <c r="H45">
        <v>22</v>
      </c>
      <c r="I45">
        <v>230</v>
      </c>
      <c r="J45">
        <v>25</v>
      </c>
      <c r="K45" s="4">
        <f t="shared" si="0"/>
        <v>130.61393493804556</v>
      </c>
    </row>
    <row r="46" spans="1:11" hidden="1" x14ac:dyDescent="0.2">
      <c r="A46">
        <v>221</v>
      </c>
      <c r="B46" t="s">
        <v>188</v>
      </c>
      <c r="C46">
        <v>2</v>
      </c>
      <c r="D46">
        <v>0</v>
      </c>
      <c r="E46">
        <v>0</v>
      </c>
      <c r="F46">
        <v>0</v>
      </c>
      <c r="G46">
        <v>0</v>
      </c>
      <c r="H46">
        <v>22</v>
      </c>
      <c r="I46">
        <v>230</v>
      </c>
      <c r="J46">
        <v>27</v>
      </c>
      <c r="K46" s="4">
        <f t="shared" si="0"/>
        <v>0</v>
      </c>
    </row>
    <row r="47" spans="1:11" hidden="1" x14ac:dyDescent="0.2">
      <c r="A47">
        <v>222</v>
      </c>
      <c r="B47" t="s">
        <v>189</v>
      </c>
      <c r="C47">
        <v>2</v>
      </c>
      <c r="D47">
        <v>0</v>
      </c>
      <c r="E47">
        <v>0</v>
      </c>
      <c r="F47">
        <v>0</v>
      </c>
      <c r="G47">
        <v>0</v>
      </c>
      <c r="H47">
        <v>22</v>
      </c>
      <c r="I47">
        <v>230</v>
      </c>
      <c r="J47">
        <v>27</v>
      </c>
      <c r="K47" s="4">
        <f t="shared" si="0"/>
        <v>0</v>
      </c>
    </row>
    <row r="48" spans="1:11" hidden="1" x14ac:dyDescent="0.2">
      <c r="A48">
        <v>223</v>
      </c>
      <c r="B48" t="s">
        <v>190</v>
      </c>
      <c r="C48">
        <v>2</v>
      </c>
      <c r="D48">
        <v>0</v>
      </c>
      <c r="E48">
        <v>0</v>
      </c>
      <c r="F48">
        <v>0</v>
      </c>
      <c r="G48">
        <v>0</v>
      </c>
      <c r="H48">
        <v>22</v>
      </c>
      <c r="I48">
        <v>230</v>
      </c>
      <c r="J48">
        <v>25</v>
      </c>
      <c r="K48" s="4">
        <f t="shared" si="0"/>
        <v>0</v>
      </c>
    </row>
    <row r="49" spans="1:11" hidden="1" x14ac:dyDescent="0.2">
      <c r="A49">
        <v>224</v>
      </c>
      <c r="B49" t="s">
        <v>191</v>
      </c>
      <c r="C49">
        <v>1</v>
      </c>
      <c r="D49">
        <v>0</v>
      </c>
      <c r="E49">
        <v>0</v>
      </c>
      <c r="F49">
        <v>0</v>
      </c>
      <c r="G49">
        <v>0</v>
      </c>
      <c r="H49">
        <v>22</v>
      </c>
      <c r="I49">
        <v>230</v>
      </c>
      <c r="J49">
        <v>26</v>
      </c>
      <c r="K49" s="4">
        <f t="shared" si="0"/>
        <v>0</v>
      </c>
    </row>
    <row r="50" spans="1:11" x14ac:dyDescent="0.2">
      <c r="A50">
        <v>301</v>
      </c>
      <c r="B50" t="s">
        <v>192</v>
      </c>
      <c r="C50">
        <v>2</v>
      </c>
      <c r="D50">
        <v>108</v>
      </c>
      <c r="E50">
        <v>22</v>
      </c>
      <c r="F50">
        <v>0</v>
      </c>
      <c r="G50">
        <v>0</v>
      </c>
      <c r="H50">
        <v>31</v>
      </c>
      <c r="I50">
        <v>138</v>
      </c>
      <c r="J50">
        <v>31</v>
      </c>
      <c r="K50" s="4">
        <f t="shared" si="0"/>
        <v>110.21796586763884</v>
      </c>
    </row>
    <row r="51" spans="1:11" x14ac:dyDescent="0.2">
      <c r="A51">
        <v>302</v>
      </c>
      <c r="B51" t="s">
        <v>193</v>
      </c>
      <c r="C51">
        <v>2</v>
      </c>
      <c r="D51">
        <v>97</v>
      </c>
      <c r="E51">
        <v>20</v>
      </c>
      <c r="F51">
        <v>0</v>
      </c>
      <c r="G51">
        <v>0</v>
      </c>
      <c r="H51">
        <v>31</v>
      </c>
      <c r="I51">
        <v>138</v>
      </c>
      <c r="J51">
        <v>32</v>
      </c>
      <c r="K51" s="4">
        <f t="shared" si="0"/>
        <v>99.040395798886024</v>
      </c>
    </row>
    <row r="52" spans="1:11" x14ac:dyDescent="0.2">
      <c r="A52">
        <v>303</v>
      </c>
      <c r="B52" t="s">
        <v>194</v>
      </c>
      <c r="C52">
        <v>1</v>
      </c>
      <c r="D52">
        <v>180</v>
      </c>
      <c r="E52">
        <v>37</v>
      </c>
      <c r="F52">
        <v>0</v>
      </c>
      <c r="G52">
        <v>0</v>
      </c>
      <c r="H52">
        <v>31</v>
      </c>
      <c r="I52">
        <v>138</v>
      </c>
      <c r="J52">
        <v>31</v>
      </c>
      <c r="K52" s="4">
        <f t="shared" si="0"/>
        <v>183.76343488300387</v>
      </c>
    </row>
    <row r="53" spans="1:11" x14ac:dyDescent="0.2">
      <c r="A53">
        <v>304</v>
      </c>
      <c r="B53" t="s">
        <v>195</v>
      </c>
      <c r="C53">
        <v>1</v>
      </c>
      <c r="D53">
        <v>74</v>
      </c>
      <c r="E53">
        <v>15</v>
      </c>
      <c r="F53">
        <v>0</v>
      </c>
      <c r="G53">
        <v>0</v>
      </c>
      <c r="H53">
        <v>31</v>
      </c>
      <c r="I53">
        <v>138</v>
      </c>
      <c r="J53">
        <v>31</v>
      </c>
      <c r="K53" s="4">
        <f t="shared" si="0"/>
        <v>75.504966724050675</v>
      </c>
    </row>
    <row r="54" spans="1:11" x14ac:dyDescent="0.2">
      <c r="A54">
        <v>305</v>
      </c>
      <c r="B54" t="s">
        <v>196</v>
      </c>
      <c r="C54">
        <v>1</v>
      </c>
      <c r="D54">
        <v>71</v>
      </c>
      <c r="E54">
        <v>14</v>
      </c>
      <c r="F54">
        <v>0</v>
      </c>
      <c r="G54">
        <v>0</v>
      </c>
      <c r="H54">
        <v>31</v>
      </c>
      <c r="I54">
        <v>138</v>
      </c>
      <c r="J54">
        <v>31</v>
      </c>
      <c r="K54" s="4">
        <f t="shared" si="0"/>
        <v>72.367119605522504</v>
      </c>
    </row>
    <row r="55" spans="1:11" x14ac:dyDescent="0.2">
      <c r="A55">
        <v>306</v>
      </c>
      <c r="B55" t="s">
        <v>197</v>
      </c>
      <c r="C55">
        <v>1</v>
      </c>
      <c r="D55">
        <v>136</v>
      </c>
      <c r="E55">
        <v>28</v>
      </c>
      <c r="F55">
        <v>0</v>
      </c>
      <c r="G55">
        <v>1</v>
      </c>
      <c r="H55">
        <v>31</v>
      </c>
      <c r="I55">
        <v>138</v>
      </c>
      <c r="J55">
        <v>32</v>
      </c>
      <c r="K55" s="4">
        <f t="shared" si="0"/>
        <v>138.85243966167826</v>
      </c>
    </row>
    <row r="56" spans="1:11" x14ac:dyDescent="0.2">
      <c r="A56">
        <v>307</v>
      </c>
      <c r="B56" t="s">
        <v>198</v>
      </c>
      <c r="C56">
        <v>2</v>
      </c>
      <c r="D56">
        <v>125</v>
      </c>
      <c r="E56">
        <v>25</v>
      </c>
      <c r="F56">
        <v>0</v>
      </c>
      <c r="G56">
        <v>0</v>
      </c>
      <c r="H56">
        <v>31</v>
      </c>
      <c r="I56">
        <v>138</v>
      </c>
      <c r="J56">
        <v>32</v>
      </c>
      <c r="K56" s="4">
        <f t="shared" si="0"/>
        <v>127.47548783981962</v>
      </c>
    </row>
    <row r="57" spans="1:11" x14ac:dyDescent="0.2">
      <c r="A57">
        <v>308</v>
      </c>
      <c r="B57" t="s">
        <v>199</v>
      </c>
      <c r="C57">
        <v>1</v>
      </c>
      <c r="D57">
        <v>171</v>
      </c>
      <c r="E57">
        <v>35</v>
      </c>
      <c r="F57">
        <v>0</v>
      </c>
      <c r="G57">
        <v>0</v>
      </c>
      <c r="H57">
        <v>31</v>
      </c>
      <c r="I57">
        <v>138</v>
      </c>
      <c r="J57">
        <v>32</v>
      </c>
      <c r="K57" s="4">
        <f t="shared" si="0"/>
        <v>174.54512310574592</v>
      </c>
    </row>
    <row r="58" spans="1:11" x14ac:dyDescent="0.2">
      <c r="A58">
        <v>309</v>
      </c>
      <c r="B58" t="s">
        <v>200</v>
      </c>
      <c r="C58">
        <v>1</v>
      </c>
      <c r="D58">
        <v>175</v>
      </c>
      <c r="E58">
        <v>36</v>
      </c>
      <c r="F58">
        <v>0</v>
      </c>
      <c r="G58">
        <v>0</v>
      </c>
      <c r="H58">
        <v>31</v>
      </c>
      <c r="I58">
        <v>138</v>
      </c>
      <c r="J58">
        <v>33</v>
      </c>
      <c r="K58" s="4">
        <f t="shared" si="0"/>
        <v>178.66449003649271</v>
      </c>
    </row>
    <row r="59" spans="1:11" x14ac:dyDescent="0.2">
      <c r="A59">
        <v>310</v>
      </c>
      <c r="B59" t="s">
        <v>201</v>
      </c>
      <c r="C59">
        <v>1</v>
      </c>
      <c r="D59">
        <v>195</v>
      </c>
      <c r="E59">
        <v>40</v>
      </c>
      <c r="F59">
        <v>0</v>
      </c>
      <c r="G59">
        <v>0</v>
      </c>
      <c r="H59">
        <v>31</v>
      </c>
      <c r="I59">
        <v>138</v>
      </c>
      <c r="J59">
        <v>33</v>
      </c>
      <c r="K59" s="4">
        <f t="shared" si="0"/>
        <v>199.06029237394384</v>
      </c>
    </row>
    <row r="60" spans="1:11" hidden="1" x14ac:dyDescent="0.2">
      <c r="A60">
        <v>311</v>
      </c>
      <c r="B60" t="s">
        <v>202</v>
      </c>
      <c r="C60">
        <v>1</v>
      </c>
      <c r="D60">
        <v>0</v>
      </c>
      <c r="E60">
        <v>0</v>
      </c>
      <c r="F60">
        <v>0</v>
      </c>
      <c r="G60">
        <v>0</v>
      </c>
      <c r="H60">
        <v>31</v>
      </c>
      <c r="I60">
        <v>230</v>
      </c>
      <c r="J60">
        <v>33</v>
      </c>
      <c r="K60" s="4">
        <f t="shared" si="0"/>
        <v>0</v>
      </c>
    </row>
    <row r="61" spans="1:11" hidden="1" x14ac:dyDescent="0.2">
      <c r="A61">
        <v>312</v>
      </c>
      <c r="B61" t="s">
        <v>203</v>
      </c>
      <c r="C61">
        <v>1</v>
      </c>
      <c r="D61">
        <v>0</v>
      </c>
      <c r="E61">
        <v>0</v>
      </c>
      <c r="F61">
        <v>0</v>
      </c>
      <c r="G61">
        <v>0</v>
      </c>
      <c r="H61">
        <v>31</v>
      </c>
      <c r="I61">
        <v>230</v>
      </c>
      <c r="J61">
        <v>33</v>
      </c>
      <c r="K61" s="4">
        <f t="shared" si="0"/>
        <v>0</v>
      </c>
    </row>
    <row r="62" spans="1:11" hidden="1" x14ac:dyDescent="0.2">
      <c r="A62">
        <v>313</v>
      </c>
      <c r="B62" t="s">
        <v>204</v>
      </c>
      <c r="C62">
        <v>2</v>
      </c>
      <c r="D62">
        <v>265</v>
      </c>
      <c r="E62">
        <v>54</v>
      </c>
      <c r="F62">
        <v>0</v>
      </c>
      <c r="G62">
        <v>0</v>
      </c>
      <c r="H62">
        <v>32</v>
      </c>
      <c r="I62">
        <v>230</v>
      </c>
      <c r="J62">
        <v>34</v>
      </c>
      <c r="K62" s="4">
        <f t="shared" si="0"/>
        <v>270.44592805217093</v>
      </c>
    </row>
    <row r="63" spans="1:11" hidden="1" x14ac:dyDescent="0.2">
      <c r="A63">
        <v>314</v>
      </c>
      <c r="B63" t="s">
        <v>205</v>
      </c>
      <c r="C63">
        <v>2</v>
      </c>
      <c r="D63">
        <v>194</v>
      </c>
      <c r="E63">
        <v>39</v>
      </c>
      <c r="F63">
        <v>0</v>
      </c>
      <c r="G63">
        <v>0</v>
      </c>
      <c r="H63">
        <v>32</v>
      </c>
      <c r="I63">
        <v>230</v>
      </c>
      <c r="J63">
        <v>36</v>
      </c>
      <c r="K63" s="4">
        <f t="shared" si="0"/>
        <v>197.88127753782064</v>
      </c>
    </row>
    <row r="64" spans="1:11" hidden="1" x14ac:dyDescent="0.2">
      <c r="A64">
        <v>315</v>
      </c>
      <c r="B64" t="s">
        <v>206</v>
      </c>
      <c r="C64">
        <v>2</v>
      </c>
      <c r="D64">
        <v>317</v>
      </c>
      <c r="E64">
        <v>64</v>
      </c>
      <c r="F64">
        <v>0</v>
      </c>
      <c r="G64">
        <v>0</v>
      </c>
      <c r="H64">
        <v>32</v>
      </c>
      <c r="I64">
        <v>230</v>
      </c>
      <c r="J64">
        <v>36</v>
      </c>
      <c r="K64" s="4">
        <f t="shared" si="0"/>
        <v>323.39604202896487</v>
      </c>
    </row>
    <row r="65" spans="1:11" hidden="1" x14ac:dyDescent="0.2">
      <c r="A65">
        <v>316</v>
      </c>
      <c r="B65" t="s">
        <v>207</v>
      </c>
      <c r="C65">
        <v>2</v>
      </c>
      <c r="D65">
        <v>100</v>
      </c>
      <c r="E65">
        <v>20</v>
      </c>
      <c r="F65">
        <v>0</v>
      </c>
      <c r="G65">
        <v>0</v>
      </c>
      <c r="H65">
        <v>32</v>
      </c>
      <c r="I65">
        <v>230</v>
      </c>
      <c r="J65">
        <v>36</v>
      </c>
      <c r="K65" s="4">
        <f t="shared" si="0"/>
        <v>101.9803902718557</v>
      </c>
    </row>
    <row r="66" spans="1:11" hidden="1" x14ac:dyDescent="0.2">
      <c r="A66">
        <v>317</v>
      </c>
      <c r="B66" t="s">
        <v>208</v>
      </c>
      <c r="C66">
        <v>1</v>
      </c>
      <c r="D66">
        <v>0</v>
      </c>
      <c r="E66">
        <v>0</v>
      </c>
      <c r="F66">
        <v>0</v>
      </c>
      <c r="G66">
        <v>0</v>
      </c>
      <c r="H66">
        <v>32</v>
      </c>
      <c r="I66">
        <v>230</v>
      </c>
      <c r="J66">
        <v>37</v>
      </c>
      <c r="K66" s="4">
        <f t="shared" si="0"/>
        <v>0</v>
      </c>
    </row>
    <row r="67" spans="1:11" hidden="1" x14ac:dyDescent="0.2">
      <c r="A67">
        <v>318</v>
      </c>
      <c r="B67" t="s">
        <v>209</v>
      </c>
      <c r="C67">
        <v>2</v>
      </c>
      <c r="D67">
        <v>333</v>
      </c>
      <c r="E67">
        <v>68</v>
      </c>
      <c r="F67">
        <v>0</v>
      </c>
      <c r="G67">
        <v>0</v>
      </c>
      <c r="H67">
        <v>32</v>
      </c>
      <c r="I67">
        <v>230</v>
      </c>
      <c r="J67">
        <v>37</v>
      </c>
      <c r="K67" s="4">
        <f t="shared" ref="K67:K74" si="1">_xlfn.LET(_xlpm.MW,D67,_xlpm.MVAR,E67,SQRT(_xlpm.MW^2+_xlpm.MVAR^2))</f>
        <v>339.87203474248952</v>
      </c>
    </row>
    <row r="68" spans="1:11" hidden="1" x14ac:dyDescent="0.2">
      <c r="A68">
        <v>319</v>
      </c>
      <c r="B68" t="s">
        <v>210</v>
      </c>
      <c r="C68">
        <v>1</v>
      </c>
      <c r="D68">
        <v>181</v>
      </c>
      <c r="E68">
        <v>37</v>
      </c>
      <c r="F68">
        <v>0</v>
      </c>
      <c r="G68">
        <v>0</v>
      </c>
      <c r="H68">
        <v>32</v>
      </c>
      <c r="I68">
        <v>230</v>
      </c>
      <c r="J68">
        <v>35</v>
      </c>
      <c r="K68" s="4">
        <f t="shared" si="1"/>
        <v>184.74306482247175</v>
      </c>
    </row>
    <row r="69" spans="1:11" hidden="1" x14ac:dyDescent="0.2">
      <c r="A69">
        <v>320</v>
      </c>
      <c r="B69" t="s">
        <v>211</v>
      </c>
      <c r="C69">
        <v>1</v>
      </c>
      <c r="D69">
        <v>128</v>
      </c>
      <c r="E69">
        <v>26</v>
      </c>
      <c r="F69">
        <v>0</v>
      </c>
      <c r="G69">
        <v>0</v>
      </c>
      <c r="H69">
        <v>32</v>
      </c>
      <c r="I69">
        <v>230</v>
      </c>
      <c r="J69">
        <v>35</v>
      </c>
      <c r="K69" s="4">
        <f t="shared" si="1"/>
        <v>130.61393493804556</v>
      </c>
    </row>
    <row r="70" spans="1:11" hidden="1" x14ac:dyDescent="0.2">
      <c r="A70">
        <v>321</v>
      </c>
      <c r="B70" t="s">
        <v>212</v>
      </c>
      <c r="C70">
        <v>2</v>
      </c>
      <c r="D70">
        <v>0</v>
      </c>
      <c r="E70">
        <v>0</v>
      </c>
      <c r="F70">
        <v>0</v>
      </c>
      <c r="G70">
        <v>0</v>
      </c>
      <c r="H70">
        <v>32</v>
      </c>
      <c r="I70">
        <v>230</v>
      </c>
      <c r="J70">
        <v>37</v>
      </c>
      <c r="K70" s="4">
        <f t="shared" si="1"/>
        <v>0</v>
      </c>
    </row>
    <row r="71" spans="1:11" hidden="1" x14ac:dyDescent="0.2">
      <c r="A71">
        <v>322</v>
      </c>
      <c r="B71" t="s">
        <v>213</v>
      </c>
      <c r="C71">
        <v>2</v>
      </c>
      <c r="D71">
        <v>0</v>
      </c>
      <c r="E71">
        <v>0</v>
      </c>
      <c r="F71">
        <v>0</v>
      </c>
      <c r="G71">
        <v>0</v>
      </c>
      <c r="H71">
        <v>32</v>
      </c>
      <c r="I71">
        <v>230</v>
      </c>
      <c r="J71">
        <v>37</v>
      </c>
      <c r="K71" s="4">
        <f t="shared" si="1"/>
        <v>0</v>
      </c>
    </row>
    <row r="72" spans="1:11" hidden="1" x14ac:dyDescent="0.2">
      <c r="A72">
        <v>323</v>
      </c>
      <c r="B72" t="s">
        <v>214</v>
      </c>
      <c r="C72">
        <v>2</v>
      </c>
      <c r="D72">
        <v>0</v>
      </c>
      <c r="E72">
        <v>0</v>
      </c>
      <c r="F72">
        <v>0</v>
      </c>
      <c r="G72">
        <v>0</v>
      </c>
      <c r="H72">
        <v>32</v>
      </c>
      <c r="I72">
        <v>230</v>
      </c>
      <c r="J72">
        <v>35</v>
      </c>
      <c r="K72" s="4">
        <f t="shared" si="1"/>
        <v>0</v>
      </c>
    </row>
    <row r="73" spans="1:11" hidden="1" x14ac:dyDescent="0.2">
      <c r="A73">
        <v>324</v>
      </c>
      <c r="B73" t="s">
        <v>215</v>
      </c>
      <c r="C73">
        <v>1</v>
      </c>
      <c r="D73">
        <v>0</v>
      </c>
      <c r="E73">
        <v>0</v>
      </c>
      <c r="F73">
        <v>0</v>
      </c>
      <c r="G73">
        <v>0</v>
      </c>
      <c r="H73">
        <v>32</v>
      </c>
      <c r="I73">
        <v>230</v>
      </c>
      <c r="J73">
        <v>36</v>
      </c>
      <c r="K73" s="4">
        <f t="shared" si="1"/>
        <v>0</v>
      </c>
    </row>
    <row r="74" spans="1:11" hidden="1" x14ac:dyDescent="0.2">
      <c r="A74">
        <v>325</v>
      </c>
      <c r="B74" t="s">
        <v>216</v>
      </c>
      <c r="C74">
        <v>1</v>
      </c>
      <c r="D74">
        <v>0</v>
      </c>
      <c r="E74">
        <v>0</v>
      </c>
      <c r="F74">
        <v>0</v>
      </c>
      <c r="G74">
        <v>0</v>
      </c>
      <c r="H74">
        <v>32</v>
      </c>
      <c r="I74">
        <v>230</v>
      </c>
      <c r="J74">
        <v>35</v>
      </c>
      <c r="K74" s="4">
        <f t="shared" si="1"/>
        <v>0</v>
      </c>
    </row>
  </sheetData>
  <autoFilter ref="A1:K74" xr:uid="{B1425245-0C41-1342-B2C4-515411C47CEC}">
    <filterColumn colId="8">
      <filters>
        <filter val="138"/>
      </filters>
    </filterColumn>
  </autoFilter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C651-1709-420D-8E13-66C4B2663284}">
  <dimension ref="A1:J298"/>
  <sheetViews>
    <sheetView topLeftCell="A20" workbookViewId="0">
      <selection activeCell="A101" sqref="A101:XFD101"/>
    </sheetView>
  </sheetViews>
  <sheetFormatPr baseColWidth="10" defaultColWidth="8.83203125" defaultRowHeight="16" x14ac:dyDescent="0.2"/>
  <cols>
    <col min="1" max="1" width="5.1640625" style="2" customWidth="1"/>
    <col min="4" max="4" width="8.83203125" customWidth="1"/>
    <col min="5" max="5" width="14" customWidth="1"/>
    <col min="6" max="6" width="15" customWidth="1"/>
    <col min="7" max="7" width="18.6640625" customWidth="1"/>
  </cols>
  <sheetData>
    <row r="1" spans="1:10" x14ac:dyDescent="0.2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242</v>
      </c>
      <c r="J1" t="s">
        <v>217</v>
      </c>
    </row>
    <row r="2" spans="1:10" x14ac:dyDescent="0.2">
      <c r="A2" s="3">
        <v>101</v>
      </c>
      <c r="B2" t="s">
        <v>220</v>
      </c>
      <c r="C2">
        <v>1</v>
      </c>
      <c r="D2">
        <v>10</v>
      </c>
      <c r="E2">
        <v>0</v>
      </c>
      <c r="F2">
        <v>10</v>
      </c>
      <c r="G2">
        <v>0</v>
      </c>
      <c r="H2">
        <v>1.0349999999999999</v>
      </c>
      <c r="I2">
        <v>164.02</v>
      </c>
      <c r="J2">
        <v>20</v>
      </c>
    </row>
    <row r="3" spans="1:10" x14ac:dyDescent="0.2">
      <c r="A3" s="3">
        <v>101</v>
      </c>
      <c r="B3" t="s">
        <v>220</v>
      </c>
      <c r="C3">
        <v>2</v>
      </c>
      <c r="D3">
        <v>10</v>
      </c>
      <c r="E3">
        <v>0</v>
      </c>
      <c r="F3">
        <v>10</v>
      </c>
      <c r="G3">
        <v>0</v>
      </c>
      <c r="H3">
        <v>1.0349999999999999</v>
      </c>
      <c r="I3">
        <v>164.02</v>
      </c>
      <c r="J3">
        <v>20</v>
      </c>
    </row>
    <row r="4" spans="1:10" x14ac:dyDescent="0.2">
      <c r="A4" s="3">
        <v>101</v>
      </c>
      <c r="B4" t="s">
        <v>221</v>
      </c>
      <c r="C4">
        <v>3</v>
      </c>
      <c r="D4">
        <v>76</v>
      </c>
      <c r="E4">
        <v>14.1</v>
      </c>
      <c r="F4">
        <v>30</v>
      </c>
      <c r="G4">
        <v>-25</v>
      </c>
      <c r="H4">
        <v>1.0349999999999999</v>
      </c>
      <c r="I4">
        <v>19.64</v>
      </c>
      <c r="J4">
        <v>76</v>
      </c>
    </row>
    <row r="5" spans="1:10" x14ac:dyDescent="0.2">
      <c r="A5" s="3">
        <v>101</v>
      </c>
      <c r="B5" t="s">
        <v>221</v>
      </c>
      <c r="C5">
        <v>4</v>
      </c>
      <c r="D5">
        <v>76</v>
      </c>
      <c r="E5">
        <v>14.1</v>
      </c>
      <c r="F5">
        <v>30</v>
      </c>
      <c r="G5">
        <v>-25</v>
      </c>
      <c r="H5">
        <v>1.0349999999999999</v>
      </c>
      <c r="I5">
        <v>19.64</v>
      </c>
      <c r="J5">
        <v>76</v>
      </c>
    </row>
    <row r="6" spans="1:10" x14ac:dyDescent="0.2">
      <c r="A6" s="3">
        <v>102</v>
      </c>
      <c r="B6" t="s">
        <v>220</v>
      </c>
      <c r="C6">
        <v>1</v>
      </c>
      <c r="D6">
        <v>10</v>
      </c>
      <c r="E6">
        <v>0</v>
      </c>
      <c r="F6">
        <v>10</v>
      </c>
      <c r="G6">
        <v>0</v>
      </c>
      <c r="H6">
        <v>1.0349999999999999</v>
      </c>
      <c r="I6">
        <v>164.02</v>
      </c>
      <c r="J6">
        <v>20</v>
      </c>
    </row>
    <row r="7" spans="1:10" x14ac:dyDescent="0.2">
      <c r="A7" s="3">
        <v>102</v>
      </c>
      <c r="B7" t="s">
        <v>220</v>
      </c>
      <c r="C7">
        <v>2</v>
      </c>
      <c r="D7">
        <v>10</v>
      </c>
      <c r="E7">
        <v>0</v>
      </c>
      <c r="F7">
        <v>10</v>
      </c>
      <c r="G7">
        <v>0</v>
      </c>
      <c r="H7">
        <v>1.0349999999999999</v>
      </c>
      <c r="I7">
        <v>164.02</v>
      </c>
      <c r="J7">
        <v>20</v>
      </c>
    </row>
    <row r="8" spans="1:10" x14ac:dyDescent="0.2">
      <c r="A8" s="3">
        <v>102</v>
      </c>
      <c r="B8" t="s">
        <v>221</v>
      </c>
      <c r="C8">
        <v>3</v>
      </c>
      <c r="D8">
        <v>76</v>
      </c>
      <c r="E8">
        <v>7</v>
      </c>
      <c r="F8">
        <v>30</v>
      </c>
      <c r="G8">
        <v>-25</v>
      </c>
      <c r="H8">
        <v>1.0349999999999999</v>
      </c>
      <c r="I8">
        <v>19.64</v>
      </c>
      <c r="J8">
        <v>76</v>
      </c>
    </row>
    <row r="9" spans="1:10" x14ac:dyDescent="0.2">
      <c r="A9" s="3">
        <v>102</v>
      </c>
      <c r="B9" t="s">
        <v>221</v>
      </c>
      <c r="C9">
        <v>4</v>
      </c>
      <c r="D9">
        <v>76</v>
      </c>
      <c r="E9">
        <v>7</v>
      </c>
      <c r="F9">
        <v>30</v>
      </c>
      <c r="G9">
        <v>-25</v>
      </c>
      <c r="H9">
        <v>1.0349999999999999</v>
      </c>
      <c r="I9">
        <v>19.64</v>
      </c>
      <c r="J9">
        <v>76</v>
      </c>
    </row>
    <row r="10" spans="1:10" x14ac:dyDescent="0.2">
      <c r="A10" s="3">
        <v>107</v>
      </c>
      <c r="B10" t="s">
        <v>222</v>
      </c>
      <c r="C10">
        <v>1</v>
      </c>
      <c r="D10">
        <v>80</v>
      </c>
      <c r="E10">
        <v>17.2</v>
      </c>
      <c r="F10">
        <v>60</v>
      </c>
      <c r="G10">
        <v>0</v>
      </c>
      <c r="H10">
        <v>1.0249999999999999</v>
      </c>
      <c r="I10">
        <v>75.650000000000006</v>
      </c>
      <c r="J10">
        <v>100</v>
      </c>
    </row>
    <row r="11" spans="1:10" x14ac:dyDescent="0.2">
      <c r="A11" s="3">
        <v>107</v>
      </c>
      <c r="B11" t="s">
        <v>222</v>
      </c>
      <c r="C11">
        <v>2</v>
      </c>
      <c r="D11">
        <v>80</v>
      </c>
      <c r="E11">
        <v>17.2</v>
      </c>
      <c r="F11">
        <v>60</v>
      </c>
      <c r="G11">
        <v>0</v>
      </c>
      <c r="H11">
        <v>1.0249999999999999</v>
      </c>
      <c r="I11">
        <v>75.650000000000006</v>
      </c>
      <c r="J11">
        <v>100</v>
      </c>
    </row>
    <row r="12" spans="1:10" x14ac:dyDescent="0.2">
      <c r="A12" s="3">
        <v>107</v>
      </c>
      <c r="B12" t="s">
        <v>222</v>
      </c>
      <c r="C12">
        <v>3</v>
      </c>
      <c r="D12">
        <v>80</v>
      </c>
      <c r="E12">
        <v>17.2</v>
      </c>
      <c r="F12">
        <v>60</v>
      </c>
      <c r="G12">
        <v>0</v>
      </c>
      <c r="H12">
        <v>1.0249999999999999</v>
      </c>
      <c r="I12">
        <v>75.650000000000006</v>
      </c>
      <c r="J12">
        <v>100</v>
      </c>
    </row>
    <row r="13" spans="1:10" x14ac:dyDescent="0.2">
      <c r="A13" s="3">
        <v>113</v>
      </c>
      <c r="B13" t="s">
        <v>224</v>
      </c>
      <c r="C13">
        <v>1</v>
      </c>
      <c r="D13">
        <v>95.1</v>
      </c>
      <c r="E13">
        <v>40.700000000000003</v>
      </c>
      <c r="F13">
        <v>80</v>
      </c>
      <c r="G13">
        <v>0</v>
      </c>
      <c r="H13">
        <v>1.02</v>
      </c>
      <c r="I13">
        <v>74.75</v>
      </c>
      <c r="J13">
        <v>197</v>
      </c>
    </row>
    <row r="14" spans="1:10" x14ac:dyDescent="0.2">
      <c r="A14" s="3">
        <v>113</v>
      </c>
      <c r="B14" t="s">
        <v>224</v>
      </c>
      <c r="C14">
        <v>2</v>
      </c>
      <c r="D14">
        <v>95.1</v>
      </c>
      <c r="E14">
        <v>40.700000000000003</v>
      </c>
      <c r="F14">
        <v>80</v>
      </c>
      <c r="G14">
        <v>0</v>
      </c>
      <c r="H14">
        <v>1.02</v>
      </c>
      <c r="I14">
        <v>74.75</v>
      </c>
      <c r="J14">
        <v>197</v>
      </c>
    </row>
    <row r="15" spans="1:10" x14ac:dyDescent="0.2">
      <c r="A15" s="3">
        <v>113</v>
      </c>
      <c r="B15" t="s">
        <v>224</v>
      </c>
      <c r="C15">
        <v>3</v>
      </c>
      <c r="D15">
        <v>95.1</v>
      </c>
      <c r="E15">
        <v>40.700000000000003</v>
      </c>
      <c r="F15">
        <v>80</v>
      </c>
      <c r="G15">
        <v>0</v>
      </c>
      <c r="H15">
        <v>1.02</v>
      </c>
      <c r="I15">
        <v>74.75</v>
      </c>
      <c r="J15">
        <v>197</v>
      </c>
    </row>
    <row r="16" spans="1:10" x14ac:dyDescent="0.2">
      <c r="A16" s="3">
        <v>114</v>
      </c>
      <c r="B16" t="s">
        <v>228</v>
      </c>
      <c r="C16">
        <v>1</v>
      </c>
      <c r="D16">
        <v>0</v>
      </c>
      <c r="E16">
        <v>13.7</v>
      </c>
      <c r="F16">
        <v>200</v>
      </c>
      <c r="G16">
        <v>-50</v>
      </c>
      <c r="H16">
        <v>0.98</v>
      </c>
      <c r="I16">
        <v>0</v>
      </c>
      <c r="J16">
        <v>-1</v>
      </c>
    </row>
    <row r="17" spans="1:10" x14ac:dyDescent="0.2">
      <c r="A17" s="3">
        <v>115</v>
      </c>
      <c r="B17" t="s">
        <v>219</v>
      </c>
      <c r="C17">
        <v>1</v>
      </c>
      <c r="D17">
        <v>12</v>
      </c>
      <c r="E17">
        <v>0</v>
      </c>
      <c r="F17">
        <v>6</v>
      </c>
      <c r="G17">
        <v>0</v>
      </c>
      <c r="H17">
        <v>1.014</v>
      </c>
      <c r="I17">
        <v>94.74</v>
      </c>
      <c r="J17">
        <v>12</v>
      </c>
    </row>
    <row r="18" spans="1:10" x14ac:dyDescent="0.2">
      <c r="A18" s="3">
        <v>115</v>
      </c>
      <c r="B18" t="s">
        <v>219</v>
      </c>
      <c r="C18">
        <v>2</v>
      </c>
      <c r="D18">
        <v>12</v>
      </c>
      <c r="E18">
        <v>0</v>
      </c>
      <c r="F18">
        <v>6</v>
      </c>
      <c r="G18">
        <v>0</v>
      </c>
      <c r="H18">
        <v>1.014</v>
      </c>
      <c r="I18">
        <v>94.74</v>
      </c>
      <c r="J18">
        <v>12</v>
      </c>
    </row>
    <row r="19" spans="1:10" x14ac:dyDescent="0.2">
      <c r="A19" s="3">
        <v>115</v>
      </c>
      <c r="B19" t="s">
        <v>219</v>
      </c>
      <c r="C19">
        <v>3</v>
      </c>
      <c r="D19">
        <v>12</v>
      </c>
      <c r="E19">
        <v>0</v>
      </c>
      <c r="F19">
        <v>6</v>
      </c>
      <c r="G19">
        <v>0</v>
      </c>
      <c r="H19">
        <v>1.014</v>
      </c>
      <c r="I19">
        <v>94.74</v>
      </c>
      <c r="J19">
        <v>12</v>
      </c>
    </row>
    <row r="20" spans="1:10" x14ac:dyDescent="0.2">
      <c r="A20" s="3">
        <v>115</v>
      </c>
      <c r="B20" t="s">
        <v>219</v>
      </c>
      <c r="C20">
        <v>4</v>
      </c>
      <c r="D20">
        <v>12</v>
      </c>
      <c r="E20">
        <v>0</v>
      </c>
      <c r="F20">
        <v>6</v>
      </c>
      <c r="G20">
        <v>0</v>
      </c>
      <c r="H20">
        <v>1.014</v>
      </c>
      <c r="I20">
        <v>94.74</v>
      </c>
      <c r="J20">
        <v>12</v>
      </c>
    </row>
    <row r="21" spans="1:10" x14ac:dyDescent="0.2">
      <c r="A21" s="3">
        <v>115</v>
      </c>
      <c r="B21" t="s">
        <v>219</v>
      </c>
      <c r="C21">
        <v>5</v>
      </c>
      <c r="D21">
        <v>12</v>
      </c>
      <c r="E21">
        <v>0</v>
      </c>
      <c r="F21">
        <v>6</v>
      </c>
      <c r="G21">
        <v>0</v>
      </c>
      <c r="H21">
        <v>1.014</v>
      </c>
      <c r="I21">
        <v>94.74</v>
      </c>
      <c r="J21">
        <v>12</v>
      </c>
    </row>
    <row r="22" spans="1:10" x14ac:dyDescent="0.2">
      <c r="A22" s="3">
        <v>115</v>
      </c>
      <c r="B22" t="s">
        <v>223</v>
      </c>
      <c r="C22">
        <v>6</v>
      </c>
      <c r="D22">
        <v>155</v>
      </c>
      <c r="E22">
        <v>0.05</v>
      </c>
      <c r="F22">
        <v>80</v>
      </c>
      <c r="G22">
        <v>-50</v>
      </c>
      <c r="H22">
        <v>1.014</v>
      </c>
      <c r="I22">
        <v>15.46</v>
      </c>
      <c r="J22">
        <v>155</v>
      </c>
    </row>
    <row r="23" spans="1:10" x14ac:dyDescent="0.2">
      <c r="A23" s="3">
        <v>116</v>
      </c>
      <c r="B23" t="s">
        <v>223</v>
      </c>
      <c r="C23">
        <v>1</v>
      </c>
      <c r="D23">
        <v>155</v>
      </c>
      <c r="E23">
        <v>25.22</v>
      </c>
      <c r="F23">
        <v>80</v>
      </c>
      <c r="G23">
        <v>-50</v>
      </c>
      <c r="H23">
        <v>1.0169999999999999</v>
      </c>
      <c r="I23">
        <v>15.46</v>
      </c>
      <c r="J23">
        <v>155</v>
      </c>
    </row>
    <row r="24" spans="1:10" x14ac:dyDescent="0.2">
      <c r="A24" s="3">
        <v>118</v>
      </c>
      <c r="B24" t="s">
        <v>226</v>
      </c>
      <c r="C24">
        <v>1</v>
      </c>
      <c r="D24">
        <v>400</v>
      </c>
      <c r="E24">
        <v>137.4</v>
      </c>
      <c r="F24">
        <v>200</v>
      </c>
      <c r="G24">
        <v>-50</v>
      </c>
      <c r="H24">
        <v>1.05</v>
      </c>
      <c r="I24">
        <v>5.46</v>
      </c>
      <c r="J24">
        <v>400</v>
      </c>
    </row>
    <row r="25" spans="1:10" x14ac:dyDescent="0.2">
      <c r="A25" s="3">
        <v>121</v>
      </c>
      <c r="B25" t="s">
        <v>226</v>
      </c>
      <c r="C25">
        <v>1</v>
      </c>
      <c r="D25">
        <v>400</v>
      </c>
      <c r="E25">
        <v>108.2</v>
      </c>
      <c r="F25">
        <v>200</v>
      </c>
      <c r="G25">
        <v>-50</v>
      </c>
      <c r="H25">
        <v>1.05</v>
      </c>
      <c r="I25">
        <v>5.46</v>
      </c>
      <c r="J25">
        <v>400</v>
      </c>
    </row>
    <row r="26" spans="1:10" x14ac:dyDescent="0.2">
      <c r="A26" s="3">
        <v>122</v>
      </c>
      <c r="B26" t="s">
        <v>227</v>
      </c>
      <c r="C26">
        <v>1</v>
      </c>
      <c r="D26">
        <v>50</v>
      </c>
      <c r="E26">
        <v>-4.96</v>
      </c>
      <c r="F26">
        <v>16</v>
      </c>
      <c r="G26">
        <v>-10</v>
      </c>
      <c r="H26">
        <v>1.05</v>
      </c>
      <c r="I26">
        <v>0</v>
      </c>
      <c r="J26">
        <v>50</v>
      </c>
    </row>
    <row r="27" spans="1:10" x14ac:dyDescent="0.2">
      <c r="A27" s="3">
        <v>122</v>
      </c>
      <c r="B27" t="s">
        <v>227</v>
      </c>
      <c r="C27">
        <v>2</v>
      </c>
      <c r="D27">
        <v>50</v>
      </c>
      <c r="E27">
        <v>-4.96</v>
      </c>
      <c r="F27">
        <v>16</v>
      </c>
      <c r="G27">
        <v>-10</v>
      </c>
      <c r="H27">
        <v>1.05</v>
      </c>
      <c r="I27">
        <v>0</v>
      </c>
      <c r="J27">
        <v>50</v>
      </c>
    </row>
    <row r="28" spans="1:10" x14ac:dyDescent="0.2">
      <c r="A28" s="3">
        <v>122</v>
      </c>
      <c r="B28" t="s">
        <v>227</v>
      </c>
      <c r="C28">
        <v>3</v>
      </c>
      <c r="D28">
        <v>50</v>
      </c>
      <c r="E28">
        <v>-4.96</v>
      </c>
      <c r="F28">
        <v>16</v>
      </c>
      <c r="G28">
        <v>-10</v>
      </c>
      <c r="H28">
        <v>1.05</v>
      </c>
      <c r="I28">
        <v>0</v>
      </c>
      <c r="J28">
        <v>50</v>
      </c>
    </row>
    <row r="29" spans="1:10" x14ac:dyDescent="0.2">
      <c r="A29" s="3">
        <v>122</v>
      </c>
      <c r="B29" t="s">
        <v>227</v>
      </c>
      <c r="C29">
        <v>4</v>
      </c>
      <c r="D29">
        <v>50</v>
      </c>
      <c r="E29">
        <v>-4.96</v>
      </c>
      <c r="F29">
        <v>16</v>
      </c>
      <c r="G29">
        <v>-10</v>
      </c>
      <c r="H29">
        <v>1.05</v>
      </c>
      <c r="I29">
        <v>0</v>
      </c>
      <c r="J29">
        <v>50</v>
      </c>
    </row>
    <row r="30" spans="1:10" x14ac:dyDescent="0.2">
      <c r="A30" s="3">
        <v>122</v>
      </c>
      <c r="B30" t="s">
        <v>227</v>
      </c>
      <c r="C30">
        <v>5</v>
      </c>
      <c r="D30">
        <v>50</v>
      </c>
      <c r="E30">
        <v>-4.96</v>
      </c>
      <c r="F30">
        <v>16</v>
      </c>
      <c r="G30">
        <v>-10</v>
      </c>
      <c r="H30">
        <v>1.05</v>
      </c>
      <c r="I30">
        <v>0</v>
      </c>
      <c r="J30">
        <v>50</v>
      </c>
    </row>
    <row r="31" spans="1:10" x14ac:dyDescent="0.2">
      <c r="A31" s="3">
        <v>122</v>
      </c>
      <c r="B31" t="s">
        <v>227</v>
      </c>
      <c r="C31">
        <v>6</v>
      </c>
      <c r="D31">
        <v>50</v>
      </c>
      <c r="E31">
        <v>-4.96</v>
      </c>
      <c r="F31">
        <v>16</v>
      </c>
      <c r="G31">
        <v>-10</v>
      </c>
      <c r="H31">
        <v>1.05</v>
      </c>
      <c r="I31">
        <v>0</v>
      </c>
      <c r="J31">
        <v>50</v>
      </c>
    </row>
    <row r="32" spans="1:10" x14ac:dyDescent="0.2">
      <c r="A32" s="3">
        <v>123</v>
      </c>
      <c r="B32" t="s">
        <v>223</v>
      </c>
      <c r="C32">
        <v>1</v>
      </c>
      <c r="D32">
        <v>155</v>
      </c>
      <c r="E32">
        <v>31.79</v>
      </c>
      <c r="F32">
        <v>80</v>
      </c>
      <c r="G32">
        <v>-50</v>
      </c>
      <c r="H32">
        <v>1.05</v>
      </c>
      <c r="I32">
        <v>15.46</v>
      </c>
      <c r="J32">
        <v>155</v>
      </c>
    </row>
    <row r="33" spans="1:10" x14ac:dyDescent="0.2">
      <c r="A33" s="3">
        <v>123</v>
      </c>
      <c r="B33" t="s">
        <v>223</v>
      </c>
      <c r="C33">
        <v>2</v>
      </c>
      <c r="D33">
        <v>155</v>
      </c>
      <c r="E33">
        <v>31.79</v>
      </c>
      <c r="F33">
        <v>80</v>
      </c>
      <c r="G33">
        <v>-50</v>
      </c>
      <c r="H33">
        <v>1.05</v>
      </c>
      <c r="I33">
        <v>15.46</v>
      </c>
      <c r="J33">
        <v>155</v>
      </c>
    </row>
    <row r="34" spans="1:10" x14ac:dyDescent="0.2">
      <c r="A34" s="3">
        <v>123</v>
      </c>
      <c r="B34" t="s">
        <v>225</v>
      </c>
      <c r="C34">
        <v>3</v>
      </c>
      <c r="D34">
        <v>350</v>
      </c>
      <c r="E34">
        <v>71.78</v>
      </c>
      <c r="F34">
        <v>150</v>
      </c>
      <c r="G34">
        <v>-25</v>
      </c>
      <c r="H34">
        <v>1.05</v>
      </c>
      <c r="I34">
        <v>15.89</v>
      </c>
      <c r="J34">
        <v>350</v>
      </c>
    </row>
    <row r="35" spans="1:10" x14ac:dyDescent="0.2">
      <c r="A35" s="3">
        <v>201</v>
      </c>
      <c r="B35" t="s">
        <v>220</v>
      </c>
      <c r="C35">
        <v>1</v>
      </c>
      <c r="D35">
        <v>10</v>
      </c>
      <c r="E35">
        <v>0</v>
      </c>
      <c r="F35">
        <v>10</v>
      </c>
      <c r="G35">
        <v>0</v>
      </c>
      <c r="H35">
        <v>1.0349999999999999</v>
      </c>
      <c r="I35">
        <v>164.02</v>
      </c>
      <c r="J35">
        <v>20</v>
      </c>
    </row>
    <row r="36" spans="1:10" x14ac:dyDescent="0.2">
      <c r="A36" s="3">
        <v>201</v>
      </c>
      <c r="B36" t="s">
        <v>220</v>
      </c>
      <c r="C36">
        <v>2</v>
      </c>
      <c r="D36">
        <v>10</v>
      </c>
      <c r="E36">
        <v>0</v>
      </c>
      <c r="F36">
        <v>10</v>
      </c>
      <c r="G36">
        <v>0</v>
      </c>
      <c r="H36">
        <v>1.0349999999999999</v>
      </c>
      <c r="I36">
        <v>164.02</v>
      </c>
      <c r="J36">
        <v>20</v>
      </c>
    </row>
    <row r="37" spans="1:10" x14ac:dyDescent="0.2">
      <c r="A37" s="3">
        <v>201</v>
      </c>
      <c r="B37" t="s">
        <v>221</v>
      </c>
      <c r="C37">
        <v>3</v>
      </c>
      <c r="D37">
        <v>76</v>
      </c>
      <c r="E37">
        <v>14.1</v>
      </c>
      <c r="F37">
        <v>30</v>
      </c>
      <c r="G37">
        <v>-25</v>
      </c>
      <c r="H37">
        <v>1.0349999999999999</v>
      </c>
      <c r="I37">
        <v>19.64</v>
      </c>
      <c r="J37">
        <v>76</v>
      </c>
    </row>
    <row r="38" spans="1:10" x14ac:dyDescent="0.2">
      <c r="A38" s="3">
        <v>201</v>
      </c>
      <c r="B38" t="s">
        <v>221</v>
      </c>
      <c r="C38">
        <v>4</v>
      </c>
      <c r="D38">
        <v>76</v>
      </c>
      <c r="E38">
        <v>14.1</v>
      </c>
      <c r="F38">
        <v>30</v>
      </c>
      <c r="G38">
        <v>-25</v>
      </c>
      <c r="H38">
        <v>1.0349999999999999</v>
      </c>
      <c r="I38">
        <v>19.64</v>
      </c>
      <c r="J38">
        <v>76</v>
      </c>
    </row>
    <row r="39" spans="1:10" x14ac:dyDescent="0.2">
      <c r="A39" s="3">
        <v>202</v>
      </c>
      <c r="B39" t="s">
        <v>220</v>
      </c>
      <c r="C39">
        <v>1</v>
      </c>
      <c r="D39">
        <v>10</v>
      </c>
      <c r="E39">
        <v>0</v>
      </c>
      <c r="F39">
        <v>10</v>
      </c>
      <c r="G39">
        <v>0</v>
      </c>
      <c r="H39">
        <v>1.0349999999999999</v>
      </c>
      <c r="I39">
        <v>164.02</v>
      </c>
      <c r="J39">
        <v>20</v>
      </c>
    </row>
    <row r="40" spans="1:10" x14ac:dyDescent="0.2">
      <c r="A40" s="3">
        <v>202</v>
      </c>
      <c r="B40" t="s">
        <v>220</v>
      </c>
      <c r="C40">
        <v>2</v>
      </c>
      <c r="D40">
        <v>10</v>
      </c>
      <c r="E40">
        <v>0</v>
      </c>
      <c r="F40">
        <v>10</v>
      </c>
      <c r="G40">
        <v>0</v>
      </c>
      <c r="H40">
        <v>1.0349999999999999</v>
      </c>
      <c r="I40">
        <v>164.02</v>
      </c>
      <c r="J40">
        <v>20</v>
      </c>
    </row>
    <row r="41" spans="1:10" x14ac:dyDescent="0.2">
      <c r="A41" s="3">
        <v>202</v>
      </c>
      <c r="B41" t="s">
        <v>221</v>
      </c>
      <c r="C41">
        <v>3</v>
      </c>
      <c r="D41">
        <v>76</v>
      </c>
      <c r="E41">
        <v>7</v>
      </c>
      <c r="F41">
        <v>30</v>
      </c>
      <c r="G41">
        <v>-25</v>
      </c>
      <c r="H41">
        <v>1.0349999999999999</v>
      </c>
      <c r="I41">
        <v>19.64</v>
      </c>
      <c r="J41">
        <v>76</v>
      </c>
    </row>
    <row r="42" spans="1:10" x14ac:dyDescent="0.2">
      <c r="A42" s="3">
        <v>202</v>
      </c>
      <c r="B42" t="s">
        <v>221</v>
      </c>
      <c r="C42">
        <v>4</v>
      </c>
      <c r="D42">
        <v>76</v>
      </c>
      <c r="E42">
        <v>7</v>
      </c>
      <c r="F42">
        <v>30</v>
      </c>
      <c r="G42">
        <v>-25</v>
      </c>
      <c r="H42">
        <v>1.0349999999999999</v>
      </c>
      <c r="I42">
        <v>19.64</v>
      </c>
      <c r="J42">
        <v>76</v>
      </c>
    </row>
    <row r="43" spans="1:10" x14ac:dyDescent="0.2">
      <c r="A43" s="3">
        <v>207</v>
      </c>
      <c r="B43" t="s">
        <v>222</v>
      </c>
      <c r="C43">
        <v>1</v>
      </c>
      <c r="D43">
        <v>80</v>
      </c>
      <c r="E43">
        <v>17.2</v>
      </c>
      <c r="F43">
        <v>60</v>
      </c>
      <c r="G43">
        <v>0</v>
      </c>
      <c r="H43">
        <v>1.0249999999999999</v>
      </c>
      <c r="I43">
        <v>75.650000000000006</v>
      </c>
      <c r="J43">
        <v>100</v>
      </c>
    </row>
    <row r="44" spans="1:10" x14ac:dyDescent="0.2">
      <c r="A44" s="3">
        <v>207</v>
      </c>
      <c r="B44" t="s">
        <v>222</v>
      </c>
      <c r="C44">
        <v>2</v>
      </c>
      <c r="D44">
        <v>80</v>
      </c>
      <c r="E44">
        <v>17.2</v>
      </c>
      <c r="F44">
        <v>60</v>
      </c>
      <c r="G44">
        <v>0</v>
      </c>
      <c r="H44">
        <v>1.0249999999999999</v>
      </c>
      <c r="I44">
        <v>75.650000000000006</v>
      </c>
      <c r="J44">
        <v>100</v>
      </c>
    </row>
    <row r="45" spans="1:10" x14ac:dyDescent="0.2">
      <c r="A45" s="3">
        <v>207</v>
      </c>
      <c r="B45" t="s">
        <v>222</v>
      </c>
      <c r="C45">
        <v>3</v>
      </c>
      <c r="D45">
        <v>80</v>
      </c>
      <c r="E45">
        <v>17.2</v>
      </c>
      <c r="F45">
        <v>60</v>
      </c>
      <c r="G45">
        <v>0</v>
      </c>
      <c r="H45">
        <v>1.0249999999999999</v>
      </c>
      <c r="I45">
        <v>75.650000000000006</v>
      </c>
      <c r="J45">
        <v>100</v>
      </c>
    </row>
    <row r="46" spans="1:10" x14ac:dyDescent="0.2">
      <c r="A46" s="3">
        <v>213</v>
      </c>
      <c r="B46" t="s">
        <v>224</v>
      </c>
      <c r="C46">
        <v>1</v>
      </c>
      <c r="D46">
        <v>95.1</v>
      </c>
      <c r="E46">
        <v>40.700000000000003</v>
      </c>
      <c r="F46">
        <v>80</v>
      </c>
      <c r="G46">
        <v>0</v>
      </c>
      <c r="H46">
        <v>1.02</v>
      </c>
      <c r="I46">
        <v>74.75</v>
      </c>
      <c r="J46">
        <v>197</v>
      </c>
    </row>
    <row r="47" spans="1:10" x14ac:dyDescent="0.2">
      <c r="A47" s="3">
        <v>213</v>
      </c>
      <c r="B47" t="s">
        <v>224</v>
      </c>
      <c r="C47">
        <v>2</v>
      </c>
      <c r="D47">
        <v>95.1</v>
      </c>
      <c r="E47">
        <v>40.700000000000003</v>
      </c>
      <c r="F47">
        <v>80</v>
      </c>
      <c r="G47">
        <v>0</v>
      </c>
      <c r="H47">
        <v>1.02</v>
      </c>
      <c r="I47">
        <v>74.75</v>
      </c>
      <c r="J47">
        <v>197</v>
      </c>
    </row>
    <row r="48" spans="1:10" x14ac:dyDescent="0.2">
      <c r="A48" s="3">
        <v>213</v>
      </c>
      <c r="B48" t="s">
        <v>224</v>
      </c>
      <c r="C48">
        <v>3</v>
      </c>
      <c r="D48">
        <v>95.1</v>
      </c>
      <c r="E48">
        <v>40.700000000000003</v>
      </c>
      <c r="F48">
        <v>80</v>
      </c>
      <c r="G48">
        <v>0</v>
      </c>
      <c r="H48">
        <v>1.02</v>
      </c>
      <c r="I48">
        <v>74.75</v>
      </c>
      <c r="J48">
        <v>197</v>
      </c>
    </row>
    <row r="49" spans="1:10" x14ac:dyDescent="0.2">
      <c r="A49" s="3">
        <v>214</v>
      </c>
      <c r="B49" t="s">
        <v>228</v>
      </c>
      <c r="C49">
        <v>1</v>
      </c>
      <c r="D49">
        <v>0</v>
      </c>
      <c r="E49">
        <v>13.68</v>
      </c>
      <c r="F49">
        <v>200</v>
      </c>
      <c r="G49">
        <v>-50</v>
      </c>
      <c r="H49">
        <v>0.98</v>
      </c>
      <c r="I49">
        <v>0</v>
      </c>
      <c r="J49">
        <v>-1</v>
      </c>
    </row>
    <row r="50" spans="1:10" x14ac:dyDescent="0.2">
      <c r="A50" s="3">
        <v>215</v>
      </c>
      <c r="B50" t="s">
        <v>219</v>
      </c>
      <c r="C50">
        <v>1</v>
      </c>
      <c r="D50">
        <v>12</v>
      </c>
      <c r="E50">
        <v>0</v>
      </c>
      <c r="F50">
        <v>6</v>
      </c>
      <c r="G50">
        <v>0</v>
      </c>
      <c r="H50">
        <v>1.014</v>
      </c>
      <c r="I50">
        <v>94.74</v>
      </c>
      <c r="J50">
        <v>12</v>
      </c>
    </row>
    <row r="51" spans="1:10" x14ac:dyDescent="0.2">
      <c r="A51" s="3">
        <v>215</v>
      </c>
      <c r="B51" t="s">
        <v>219</v>
      </c>
      <c r="C51">
        <v>2</v>
      </c>
      <c r="D51">
        <v>12</v>
      </c>
      <c r="E51">
        <v>0</v>
      </c>
      <c r="F51">
        <v>6</v>
      </c>
      <c r="G51">
        <v>0</v>
      </c>
      <c r="H51">
        <v>1.014</v>
      </c>
      <c r="I51">
        <v>94.74</v>
      </c>
      <c r="J51">
        <v>12</v>
      </c>
    </row>
    <row r="52" spans="1:10" x14ac:dyDescent="0.2">
      <c r="A52" s="3">
        <v>215</v>
      </c>
      <c r="B52" t="s">
        <v>219</v>
      </c>
      <c r="C52">
        <v>3</v>
      </c>
      <c r="D52">
        <v>12</v>
      </c>
      <c r="E52">
        <v>0</v>
      </c>
      <c r="F52">
        <v>6</v>
      </c>
      <c r="G52">
        <v>0</v>
      </c>
      <c r="H52">
        <v>1.014</v>
      </c>
      <c r="I52">
        <v>94.74</v>
      </c>
      <c r="J52">
        <v>12</v>
      </c>
    </row>
    <row r="53" spans="1:10" x14ac:dyDescent="0.2">
      <c r="A53" s="3">
        <v>215</v>
      </c>
      <c r="B53" t="s">
        <v>219</v>
      </c>
      <c r="C53">
        <v>4</v>
      </c>
      <c r="D53">
        <v>12</v>
      </c>
      <c r="E53">
        <v>0</v>
      </c>
      <c r="F53">
        <v>6</v>
      </c>
      <c r="G53">
        <v>0</v>
      </c>
      <c r="H53">
        <v>1.014</v>
      </c>
      <c r="I53">
        <v>94.74</v>
      </c>
      <c r="J53">
        <v>12</v>
      </c>
    </row>
    <row r="54" spans="1:10" x14ac:dyDescent="0.2">
      <c r="A54" s="3">
        <v>215</v>
      </c>
      <c r="B54" t="s">
        <v>219</v>
      </c>
      <c r="C54">
        <v>5</v>
      </c>
      <c r="D54">
        <v>12</v>
      </c>
      <c r="E54">
        <v>0</v>
      </c>
      <c r="F54">
        <v>6</v>
      </c>
      <c r="G54">
        <v>0</v>
      </c>
      <c r="H54">
        <v>1.014</v>
      </c>
      <c r="I54">
        <v>94.74</v>
      </c>
      <c r="J54">
        <v>12</v>
      </c>
    </row>
    <row r="55" spans="1:10" x14ac:dyDescent="0.2">
      <c r="A55" s="3">
        <v>215</v>
      </c>
      <c r="B55" t="s">
        <v>223</v>
      </c>
      <c r="C55">
        <v>6</v>
      </c>
      <c r="D55">
        <v>155</v>
      </c>
      <c r="E55">
        <v>4.8000000000000001E-2</v>
      </c>
      <c r="F55">
        <v>80</v>
      </c>
      <c r="G55">
        <v>-50</v>
      </c>
      <c r="H55">
        <v>1.014</v>
      </c>
      <c r="I55">
        <v>15.46</v>
      </c>
      <c r="J55">
        <v>155</v>
      </c>
    </row>
    <row r="56" spans="1:10" x14ac:dyDescent="0.2">
      <c r="A56" s="3">
        <v>216</v>
      </c>
      <c r="B56" t="s">
        <v>223</v>
      </c>
      <c r="C56">
        <v>1</v>
      </c>
      <c r="D56">
        <v>155</v>
      </c>
      <c r="E56">
        <v>25.22</v>
      </c>
      <c r="F56">
        <v>80</v>
      </c>
      <c r="G56">
        <v>-50</v>
      </c>
      <c r="H56">
        <v>1.0169999999999999</v>
      </c>
      <c r="I56">
        <v>15.46</v>
      </c>
      <c r="J56">
        <v>155</v>
      </c>
    </row>
    <row r="57" spans="1:10" x14ac:dyDescent="0.2">
      <c r="A57" s="3">
        <v>218</v>
      </c>
      <c r="B57" t="s">
        <v>226</v>
      </c>
      <c r="C57">
        <v>1</v>
      </c>
      <c r="D57">
        <v>400</v>
      </c>
      <c r="E57">
        <v>137.4</v>
      </c>
      <c r="F57">
        <v>200</v>
      </c>
      <c r="G57">
        <v>-50</v>
      </c>
      <c r="H57">
        <v>1.05</v>
      </c>
      <c r="I57">
        <v>5.46</v>
      </c>
      <c r="J57">
        <v>400</v>
      </c>
    </row>
    <row r="58" spans="1:10" x14ac:dyDescent="0.2">
      <c r="A58" s="3">
        <v>221</v>
      </c>
      <c r="B58" t="s">
        <v>226</v>
      </c>
      <c r="C58">
        <v>1</v>
      </c>
      <c r="D58">
        <v>400</v>
      </c>
      <c r="E58">
        <v>108.2</v>
      </c>
      <c r="F58">
        <v>200</v>
      </c>
      <c r="G58">
        <v>-50</v>
      </c>
      <c r="H58">
        <v>1.05</v>
      </c>
      <c r="I58">
        <v>5.46</v>
      </c>
      <c r="J58">
        <v>400</v>
      </c>
    </row>
    <row r="59" spans="1:10" x14ac:dyDescent="0.2">
      <c r="A59" s="3">
        <v>222</v>
      </c>
      <c r="B59" t="s">
        <v>227</v>
      </c>
      <c r="C59">
        <v>1</v>
      </c>
      <c r="D59">
        <v>50</v>
      </c>
      <c r="E59">
        <v>-4.96</v>
      </c>
      <c r="F59">
        <v>16</v>
      </c>
      <c r="G59">
        <v>-10</v>
      </c>
      <c r="H59">
        <v>1.05</v>
      </c>
      <c r="I59">
        <v>0</v>
      </c>
      <c r="J59">
        <v>50</v>
      </c>
    </row>
    <row r="60" spans="1:10" x14ac:dyDescent="0.2">
      <c r="A60" s="3">
        <v>222</v>
      </c>
      <c r="B60" t="s">
        <v>227</v>
      </c>
      <c r="C60">
        <v>2</v>
      </c>
      <c r="D60">
        <v>50</v>
      </c>
      <c r="E60">
        <v>-4.96</v>
      </c>
      <c r="F60">
        <v>16</v>
      </c>
      <c r="G60">
        <v>-10</v>
      </c>
      <c r="H60">
        <v>1.05</v>
      </c>
      <c r="I60">
        <v>0</v>
      </c>
      <c r="J60">
        <v>50</v>
      </c>
    </row>
    <row r="61" spans="1:10" x14ac:dyDescent="0.2">
      <c r="A61" s="3">
        <v>222</v>
      </c>
      <c r="B61" t="s">
        <v>227</v>
      </c>
      <c r="C61">
        <v>3</v>
      </c>
      <c r="D61">
        <v>50</v>
      </c>
      <c r="E61">
        <v>-4.96</v>
      </c>
      <c r="F61">
        <v>16</v>
      </c>
      <c r="G61">
        <v>-10</v>
      </c>
      <c r="H61">
        <v>1.05</v>
      </c>
      <c r="I61">
        <v>0</v>
      </c>
      <c r="J61">
        <v>50</v>
      </c>
    </row>
    <row r="62" spans="1:10" x14ac:dyDescent="0.2">
      <c r="A62" s="3">
        <v>222</v>
      </c>
      <c r="B62" t="s">
        <v>227</v>
      </c>
      <c r="C62">
        <v>4</v>
      </c>
      <c r="D62">
        <v>50</v>
      </c>
      <c r="E62">
        <v>-4.96</v>
      </c>
      <c r="F62">
        <v>16</v>
      </c>
      <c r="G62">
        <v>-10</v>
      </c>
      <c r="H62">
        <v>1.05</v>
      </c>
      <c r="I62">
        <v>0</v>
      </c>
      <c r="J62">
        <v>50</v>
      </c>
    </row>
    <row r="63" spans="1:10" x14ac:dyDescent="0.2">
      <c r="A63" s="3">
        <v>222</v>
      </c>
      <c r="B63" t="s">
        <v>227</v>
      </c>
      <c r="C63">
        <v>5</v>
      </c>
      <c r="D63">
        <v>50</v>
      </c>
      <c r="E63">
        <v>-4.96</v>
      </c>
      <c r="F63">
        <v>16</v>
      </c>
      <c r="G63">
        <v>-10</v>
      </c>
      <c r="H63">
        <v>1.05</v>
      </c>
      <c r="I63">
        <v>0</v>
      </c>
      <c r="J63">
        <v>50</v>
      </c>
    </row>
    <row r="64" spans="1:10" x14ac:dyDescent="0.2">
      <c r="A64" s="3">
        <v>222</v>
      </c>
      <c r="B64" t="s">
        <v>227</v>
      </c>
      <c r="C64">
        <v>6</v>
      </c>
      <c r="D64">
        <v>50</v>
      </c>
      <c r="E64">
        <v>-4.96</v>
      </c>
      <c r="F64">
        <v>16</v>
      </c>
      <c r="G64">
        <v>-10</v>
      </c>
      <c r="H64">
        <v>1.05</v>
      </c>
      <c r="I64">
        <v>0</v>
      </c>
      <c r="J64">
        <v>50</v>
      </c>
    </row>
    <row r="65" spans="1:10" x14ac:dyDescent="0.2">
      <c r="A65" s="3">
        <v>223</v>
      </c>
      <c r="B65" t="s">
        <v>223</v>
      </c>
      <c r="C65">
        <v>1</v>
      </c>
      <c r="D65">
        <v>155</v>
      </c>
      <c r="E65">
        <v>31.79</v>
      </c>
      <c r="F65">
        <v>80</v>
      </c>
      <c r="G65">
        <v>-50</v>
      </c>
      <c r="H65">
        <v>1.05</v>
      </c>
      <c r="I65">
        <v>15.46</v>
      </c>
      <c r="J65">
        <v>155</v>
      </c>
    </row>
    <row r="66" spans="1:10" x14ac:dyDescent="0.2">
      <c r="A66" s="3">
        <v>223</v>
      </c>
      <c r="B66" t="s">
        <v>223</v>
      </c>
      <c r="C66">
        <v>2</v>
      </c>
      <c r="D66">
        <v>155</v>
      </c>
      <c r="E66">
        <v>31.79</v>
      </c>
      <c r="F66">
        <v>80</v>
      </c>
      <c r="G66">
        <v>-50</v>
      </c>
      <c r="H66">
        <v>1.05</v>
      </c>
      <c r="I66">
        <v>15.46</v>
      </c>
      <c r="J66">
        <v>155</v>
      </c>
    </row>
    <row r="67" spans="1:10" x14ac:dyDescent="0.2">
      <c r="A67" s="3">
        <v>223</v>
      </c>
      <c r="B67" t="s">
        <v>225</v>
      </c>
      <c r="C67">
        <v>3</v>
      </c>
      <c r="D67">
        <v>350</v>
      </c>
      <c r="E67">
        <v>71.78</v>
      </c>
      <c r="F67">
        <v>150</v>
      </c>
      <c r="G67">
        <v>-25</v>
      </c>
      <c r="H67">
        <v>1.05</v>
      </c>
      <c r="I67">
        <v>15.89</v>
      </c>
      <c r="J67">
        <v>350</v>
      </c>
    </row>
    <row r="68" spans="1:10" x14ac:dyDescent="0.2">
      <c r="A68" s="3">
        <v>301</v>
      </c>
      <c r="B68" t="s">
        <v>220</v>
      </c>
      <c r="C68">
        <v>1</v>
      </c>
      <c r="D68">
        <v>10</v>
      </c>
      <c r="E68">
        <v>0</v>
      </c>
      <c r="F68">
        <v>10</v>
      </c>
      <c r="G68">
        <v>0</v>
      </c>
      <c r="H68">
        <v>1.0349999999999999</v>
      </c>
      <c r="I68">
        <v>164.02</v>
      </c>
      <c r="J68">
        <v>20</v>
      </c>
    </row>
    <row r="69" spans="1:10" x14ac:dyDescent="0.2">
      <c r="A69" s="3">
        <v>301</v>
      </c>
      <c r="B69" t="s">
        <v>220</v>
      </c>
      <c r="C69">
        <v>2</v>
      </c>
      <c r="D69">
        <v>10</v>
      </c>
      <c r="E69">
        <v>0</v>
      </c>
      <c r="F69">
        <v>10</v>
      </c>
      <c r="G69">
        <v>0</v>
      </c>
      <c r="H69">
        <v>1.0349999999999999</v>
      </c>
      <c r="I69">
        <v>164.02</v>
      </c>
      <c r="J69">
        <v>20</v>
      </c>
    </row>
    <row r="70" spans="1:10" x14ac:dyDescent="0.2">
      <c r="A70" s="3">
        <v>301</v>
      </c>
      <c r="B70" t="s">
        <v>221</v>
      </c>
      <c r="C70">
        <v>3</v>
      </c>
      <c r="D70">
        <v>76</v>
      </c>
      <c r="E70">
        <v>14.1</v>
      </c>
      <c r="F70">
        <v>30</v>
      </c>
      <c r="G70">
        <v>-25</v>
      </c>
      <c r="H70">
        <v>1.0349999999999999</v>
      </c>
      <c r="I70">
        <v>19.64</v>
      </c>
      <c r="J70">
        <v>76</v>
      </c>
    </row>
    <row r="71" spans="1:10" x14ac:dyDescent="0.2">
      <c r="A71" s="3">
        <v>301</v>
      </c>
      <c r="B71" t="s">
        <v>221</v>
      </c>
      <c r="C71">
        <v>4</v>
      </c>
      <c r="D71">
        <v>76</v>
      </c>
      <c r="E71">
        <v>14.1</v>
      </c>
      <c r="F71">
        <v>30</v>
      </c>
      <c r="G71">
        <v>-25</v>
      </c>
      <c r="H71">
        <v>1.0349999999999999</v>
      </c>
      <c r="I71">
        <v>19.64</v>
      </c>
      <c r="J71">
        <v>76</v>
      </c>
    </row>
    <row r="72" spans="1:10" x14ac:dyDescent="0.2">
      <c r="A72" s="3">
        <v>302</v>
      </c>
      <c r="B72" t="s">
        <v>220</v>
      </c>
      <c r="C72">
        <v>1</v>
      </c>
      <c r="D72">
        <v>10</v>
      </c>
      <c r="E72">
        <v>0</v>
      </c>
      <c r="F72">
        <v>10</v>
      </c>
      <c r="G72">
        <v>0</v>
      </c>
      <c r="H72">
        <v>1.0349999999999999</v>
      </c>
      <c r="I72">
        <v>164.02</v>
      </c>
      <c r="J72">
        <v>20</v>
      </c>
    </row>
    <row r="73" spans="1:10" x14ac:dyDescent="0.2">
      <c r="A73" s="3">
        <v>302</v>
      </c>
      <c r="B73" t="s">
        <v>220</v>
      </c>
      <c r="C73">
        <v>2</v>
      </c>
      <c r="D73">
        <v>10</v>
      </c>
      <c r="E73">
        <v>0</v>
      </c>
      <c r="F73">
        <v>10</v>
      </c>
      <c r="G73">
        <v>0</v>
      </c>
      <c r="H73">
        <v>1.0349999999999999</v>
      </c>
      <c r="I73">
        <v>164.02</v>
      </c>
      <c r="J73">
        <v>20</v>
      </c>
    </row>
    <row r="74" spans="1:10" x14ac:dyDescent="0.2">
      <c r="A74" s="3">
        <v>302</v>
      </c>
      <c r="B74" t="s">
        <v>221</v>
      </c>
      <c r="C74">
        <v>3</v>
      </c>
      <c r="D74">
        <v>76</v>
      </c>
      <c r="E74">
        <v>7</v>
      </c>
      <c r="F74">
        <v>30</v>
      </c>
      <c r="G74">
        <v>-25</v>
      </c>
      <c r="H74">
        <v>1.0349999999999999</v>
      </c>
      <c r="I74">
        <v>19.64</v>
      </c>
      <c r="J74">
        <v>76</v>
      </c>
    </row>
    <row r="75" spans="1:10" x14ac:dyDescent="0.2">
      <c r="A75" s="3">
        <v>302</v>
      </c>
      <c r="B75" t="s">
        <v>221</v>
      </c>
      <c r="C75">
        <v>4</v>
      </c>
      <c r="D75">
        <v>76</v>
      </c>
      <c r="E75">
        <v>7</v>
      </c>
      <c r="F75">
        <v>30</v>
      </c>
      <c r="G75">
        <v>-25</v>
      </c>
      <c r="H75">
        <v>1.0349999999999999</v>
      </c>
      <c r="I75">
        <v>19.64</v>
      </c>
      <c r="J75">
        <v>76</v>
      </c>
    </row>
    <row r="76" spans="1:10" x14ac:dyDescent="0.2">
      <c r="A76" s="3">
        <v>307</v>
      </c>
      <c r="B76" t="s">
        <v>222</v>
      </c>
      <c r="C76">
        <v>1</v>
      </c>
      <c r="D76">
        <v>80</v>
      </c>
      <c r="E76">
        <v>17.2</v>
      </c>
      <c r="F76">
        <v>60</v>
      </c>
      <c r="G76">
        <v>0</v>
      </c>
      <c r="H76">
        <v>1.0249999999999999</v>
      </c>
      <c r="I76">
        <v>75.650000000000006</v>
      </c>
      <c r="J76">
        <v>100</v>
      </c>
    </row>
    <row r="77" spans="1:10" x14ac:dyDescent="0.2">
      <c r="A77" s="3">
        <v>307</v>
      </c>
      <c r="B77" t="s">
        <v>222</v>
      </c>
      <c r="C77">
        <v>2</v>
      </c>
      <c r="D77">
        <v>80</v>
      </c>
      <c r="E77">
        <v>17.2</v>
      </c>
      <c r="F77">
        <v>60</v>
      </c>
      <c r="G77">
        <v>0</v>
      </c>
      <c r="H77">
        <v>1.0249999999999999</v>
      </c>
      <c r="I77">
        <v>75.650000000000006</v>
      </c>
      <c r="J77">
        <v>100</v>
      </c>
    </row>
    <row r="78" spans="1:10" x14ac:dyDescent="0.2">
      <c r="A78" s="3">
        <v>307</v>
      </c>
      <c r="B78" t="s">
        <v>222</v>
      </c>
      <c r="C78">
        <v>3</v>
      </c>
      <c r="D78">
        <v>80</v>
      </c>
      <c r="E78">
        <v>17.2</v>
      </c>
      <c r="F78">
        <v>60</v>
      </c>
      <c r="G78">
        <v>0</v>
      </c>
      <c r="H78">
        <v>1.0249999999999999</v>
      </c>
      <c r="I78">
        <v>75.650000000000006</v>
      </c>
      <c r="J78">
        <v>100</v>
      </c>
    </row>
    <row r="79" spans="1:10" x14ac:dyDescent="0.2">
      <c r="A79" s="3">
        <v>313</v>
      </c>
      <c r="B79" t="s">
        <v>224</v>
      </c>
      <c r="C79">
        <v>1</v>
      </c>
      <c r="D79">
        <v>95.1</v>
      </c>
      <c r="E79">
        <v>40.700000000000003</v>
      </c>
      <c r="F79">
        <v>80</v>
      </c>
      <c r="G79">
        <v>0</v>
      </c>
      <c r="H79">
        <v>1.02</v>
      </c>
      <c r="I79">
        <v>74.75</v>
      </c>
      <c r="J79">
        <v>197</v>
      </c>
    </row>
    <row r="80" spans="1:10" x14ac:dyDescent="0.2">
      <c r="A80" s="3">
        <v>313</v>
      </c>
      <c r="B80" t="s">
        <v>224</v>
      </c>
      <c r="C80">
        <v>2</v>
      </c>
      <c r="D80">
        <v>95.1</v>
      </c>
      <c r="E80">
        <v>40.700000000000003</v>
      </c>
      <c r="F80">
        <v>80</v>
      </c>
      <c r="G80">
        <v>0</v>
      </c>
      <c r="H80">
        <v>1.02</v>
      </c>
      <c r="I80">
        <v>74.75</v>
      </c>
      <c r="J80">
        <v>197</v>
      </c>
    </row>
    <row r="81" spans="1:10" x14ac:dyDescent="0.2">
      <c r="A81" s="3">
        <v>313</v>
      </c>
      <c r="B81" t="s">
        <v>224</v>
      </c>
      <c r="C81">
        <v>3</v>
      </c>
      <c r="D81">
        <v>95.1</v>
      </c>
      <c r="E81">
        <v>40.700000000000003</v>
      </c>
      <c r="F81">
        <v>80</v>
      </c>
      <c r="G81">
        <v>0</v>
      </c>
      <c r="H81">
        <v>1.02</v>
      </c>
      <c r="I81">
        <v>74.75</v>
      </c>
      <c r="J81">
        <v>197</v>
      </c>
    </row>
    <row r="82" spans="1:10" x14ac:dyDescent="0.2">
      <c r="A82" s="3">
        <v>314</v>
      </c>
      <c r="B82" t="s">
        <v>228</v>
      </c>
      <c r="C82">
        <v>1</v>
      </c>
      <c r="D82">
        <v>0</v>
      </c>
      <c r="E82">
        <v>13.68</v>
      </c>
      <c r="F82">
        <v>200</v>
      </c>
      <c r="G82">
        <v>-50</v>
      </c>
      <c r="H82">
        <v>0.98</v>
      </c>
      <c r="I82">
        <v>0</v>
      </c>
      <c r="J82">
        <v>-1</v>
      </c>
    </row>
    <row r="83" spans="1:10" x14ac:dyDescent="0.2">
      <c r="A83" s="3">
        <v>315</v>
      </c>
      <c r="B83" t="s">
        <v>219</v>
      </c>
      <c r="C83">
        <v>1</v>
      </c>
      <c r="D83">
        <v>12</v>
      </c>
      <c r="E83">
        <v>0</v>
      </c>
      <c r="F83">
        <v>6</v>
      </c>
      <c r="G83">
        <v>0</v>
      </c>
      <c r="H83">
        <v>1.014</v>
      </c>
      <c r="I83">
        <v>94.74</v>
      </c>
      <c r="J83">
        <v>12</v>
      </c>
    </row>
    <row r="84" spans="1:10" x14ac:dyDescent="0.2">
      <c r="A84" s="3">
        <v>315</v>
      </c>
      <c r="B84" t="s">
        <v>219</v>
      </c>
      <c r="C84">
        <v>2</v>
      </c>
      <c r="D84">
        <v>12</v>
      </c>
      <c r="E84">
        <v>0</v>
      </c>
      <c r="F84">
        <v>6</v>
      </c>
      <c r="G84">
        <v>0</v>
      </c>
      <c r="H84">
        <v>1.014</v>
      </c>
      <c r="I84">
        <v>94.74</v>
      </c>
      <c r="J84">
        <v>12</v>
      </c>
    </row>
    <row r="85" spans="1:10" x14ac:dyDescent="0.2">
      <c r="A85" s="3">
        <v>315</v>
      </c>
      <c r="B85" t="s">
        <v>219</v>
      </c>
      <c r="C85">
        <v>3</v>
      </c>
      <c r="D85">
        <v>12</v>
      </c>
      <c r="E85">
        <v>0</v>
      </c>
      <c r="F85">
        <v>6</v>
      </c>
      <c r="G85">
        <v>0</v>
      </c>
      <c r="H85">
        <v>1.014</v>
      </c>
      <c r="I85">
        <v>94.74</v>
      </c>
      <c r="J85">
        <v>12</v>
      </c>
    </row>
    <row r="86" spans="1:10" x14ac:dyDescent="0.2">
      <c r="A86" s="3">
        <v>315</v>
      </c>
      <c r="B86" t="s">
        <v>219</v>
      </c>
      <c r="C86">
        <v>4</v>
      </c>
      <c r="D86">
        <v>12</v>
      </c>
      <c r="E86">
        <v>0</v>
      </c>
      <c r="F86">
        <v>6</v>
      </c>
      <c r="G86">
        <v>0</v>
      </c>
      <c r="H86">
        <v>1.014</v>
      </c>
      <c r="I86">
        <v>94.74</v>
      </c>
      <c r="J86">
        <v>12</v>
      </c>
    </row>
    <row r="87" spans="1:10" x14ac:dyDescent="0.2">
      <c r="A87" s="3">
        <v>315</v>
      </c>
      <c r="B87" t="s">
        <v>219</v>
      </c>
      <c r="C87">
        <v>5</v>
      </c>
      <c r="D87">
        <v>12</v>
      </c>
      <c r="E87">
        <v>0</v>
      </c>
      <c r="F87">
        <v>6</v>
      </c>
      <c r="G87">
        <v>0</v>
      </c>
      <c r="H87">
        <v>1.014</v>
      </c>
      <c r="I87">
        <v>94.74</v>
      </c>
      <c r="J87">
        <v>12</v>
      </c>
    </row>
    <row r="88" spans="1:10" x14ac:dyDescent="0.2">
      <c r="A88" s="3">
        <v>315</v>
      </c>
      <c r="B88" t="s">
        <v>223</v>
      </c>
      <c r="C88">
        <v>6</v>
      </c>
      <c r="D88">
        <v>155</v>
      </c>
      <c r="E88">
        <v>4.8000000000000001E-2</v>
      </c>
      <c r="F88">
        <v>80</v>
      </c>
      <c r="G88">
        <v>-50</v>
      </c>
      <c r="H88">
        <v>1.014</v>
      </c>
      <c r="I88">
        <v>15.46</v>
      </c>
      <c r="J88">
        <v>155</v>
      </c>
    </row>
    <row r="89" spans="1:10" x14ac:dyDescent="0.2">
      <c r="A89" s="3">
        <v>316</v>
      </c>
      <c r="B89" t="s">
        <v>223</v>
      </c>
      <c r="C89">
        <v>1</v>
      </c>
      <c r="D89">
        <v>155</v>
      </c>
      <c r="E89">
        <v>25.22</v>
      </c>
      <c r="F89">
        <v>80</v>
      </c>
      <c r="G89">
        <v>-50</v>
      </c>
      <c r="H89">
        <v>1.0169999999999999</v>
      </c>
      <c r="I89">
        <v>15.46</v>
      </c>
      <c r="J89">
        <v>155</v>
      </c>
    </row>
    <row r="90" spans="1:10" x14ac:dyDescent="0.2">
      <c r="A90" s="3">
        <v>318</v>
      </c>
      <c r="B90" t="s">
        <v>226</v>
      </c>
      <c r="C90">
        <v>1</v>
      </c>
      <c r="D90">
        <v>400</v>
      </c>
      <c r="E90">
        <v>137.4</v>
      </c>
      <c r="F90">
        <v>200</v>
      </c>
      <c r="G90">
        <v>-50</v>
      </c>
      <c r="H90">
        <v>1.05</v>
      </c>
      <c r="I90">
        <v>5.46</v>
      </c>
      <c r="J90">
        <v>400</v>
      </c>
    </row>
    <row r="91" spans="1:10" x14ac:dyDescent="0.2">
      <c r="A91" s="3">
        <v>321</v>
      </c>
      <c r="B91" t="s">
        <v>226</v>
      </c>
      <c r="C91">
        <v>1</v>
      </c>
      <c r="D91">
        <v>400</v>
      </c>
      <c r="E91">
        <v>108.2</v>
      </c>
      <c r="F91">
        <v>200</v>
      </c>
      <c r="G91">
        <v>-50</v>
      </c>
      <c r="H91">
        <v>1.05</v>
      </c>
      <c r="I91">
        <v>5.46</v>
      </c>
      <c r="J91">
        <v>400</v>
      </c>
    </row>
    <row r="92" spans="1:10" x14ac:dyDescent="0.2">
      <c r="A92" s="3">
        <v>322</v>
      </c>
      <c r="B92" t="s">
        <v>227</v>
      </c>
      <c r="C92">
        <v>1</v>
      </c>
      <c r="D92">
        <v>50</v>
      </c>
      <c r="E92">
        <v>-4.96</v>
      </c>
      <c r="F92">
        <v>16</v>
      </c>
      <c r="G92">
        <v>-10</v>
      </c>
      <c r="H92">
        <v>1.05</v>
      </c>
      <c r="I92">
        <v>0</v>
      </c>
      <c r="J92">
        <v>50</v>
      </c>
    </row>
    <row r="93" spans="1:10" x14ac:dyDescent="0.2">
      <c r="A93" s="3">
        <v>322</v>
      </c>
      <c r="B93" t="s">
        <v>227</v>
      </c>
      <c r="C93">
        <v>2</v>
      </c>
      <c r="D93">
        <v>50</v>
      </c>
      <c r="E93">
        <v>-4.96</v>
      </c>
      <c r="F93">
        <v>16</v>
      </c>
      <c r="G93">
        <v>-10</v>
      </c>
      <c r="H93">
        <v>1.05</v>
      </c>
      <c r="I93">
        <v>0</v>
      </c>
      <c r="J93">
        <v>50</v>
      </c>
    </row>
    <row r="94" spans="1:10" x14ac:dyDescent="0.2">
      <c r="A94" s="3">
        <v>322</v>
      </c>
      <c r="B94" t="s">
        <v>227</v>
      </c>
      <c r="C94">
        <v>3</v>
      </c>
      <c r="D94">
        <v>50</v>
      </c>
      <c r="E94">
        <v>-4.96</v>
      </c>
      <c r="F94">
        <v>16</v>
      </c>
      <c r="G94">
        <v>-10</v>
      </c>
      <c r="H94">
        <v>1.05</v>
      </c>
      <c r="I94">
        <v>0</v>
      </c>
      <c r="J94">
        <v>50</v>
      </c>
    </row>
    <row r="95" spans="1:10" x14ac:dyDescent="0.2">
      <c r="A95" s="3">
        <v>322</v>
      </c>
      <c r="B95" t="s">
        <v>227</v>
      </c>
      <c r="C95">
        <v>4</v>
      </c>
      <c r="D95">
        <v>50</v>
      </c>
      <c r="E95">
        <v>-4.96</v>
      </c>
      <c r="F95">
        <v>16</v>
      </c>
      <c r="G95">
        <v>-10</v>
      </c>
      <c r="H95">
        <v>1.05</v>
      </c>
      <c r="I95">
        <v>0</v>
      </c>
      <c r="J95">
        <v>50</v>
      </c>
    </row>
    <row r="96" spans="1:10" x14ac:dyDescent="0.2">
      <c r="A96" s="3">
        <v>322</v>
      </c>
      <c r="B96" t="s">
        <v>227</v>
      </c>
      <c r="C96">
        <v>5</v>
      </c>
      <c r="D96">
        <v>50</v>
      </c>
      <c r="E96">
        <v>-4.96</v>
      </c>
      <c r="F96">
        <v>16</v>
      </c>
      <c r="G96">
        <v>-10</v>
      </c>
      <c r="H96">
        <v>1.05</v>
      </c>
      <c r="I96">
        <v>0</v>
      </c>
      <c r="J96">
        <v>50</v>
      </c>
    </row>
    <row r="97" spans="1:10" x14ac:dyDescent="0.2">
      <c r="A97" s="3">
        <v>322</v>
      </c>
      <c r="B97" t="s">
        <v>227</v>
      </c>
      <c r="C97">
        <v>6</v>
      </c>
      <c r="D97">
        <v>50</v>
      </c>
      <c r="E97">
        <v>-4.96</v>
      </c>
      <c r="F97">
        <v>16</v>
      </c>
      <c r="G97">
        <v>-10</v>
      </c>
      <c r="H97">
        <v>1.05</v>
      </c>
      <c r="I97">
        <v>0</v>
      </c>
      <c r="J97">
        <v>50</v>
      </c>
    </row>
    <row r="98" spans="1:10" x14ac:dyDescent="0.2">
      <c r="A98" s="3">
        <v>323</v>
      </c>
      <c r="B98" t="s">
        <v>223</v>
      </c>
      <c r="C98">
        <v>1</v>
      </c>
      <c r="D98">
        <v>155</v>
      </c>
      <c r="E98">
        <v>31.79</v>
      </c>
      <c r="F98">
        <v>80</v>
      </c>
      <c r="G98">
        <v>-50</v>
      </c>
      <c r="H98">
        <v>1.05</v>
      </c>
      <c r="I98">
        <v>15.46</v>
      </c>
      <c r="J98">
        <v>155</v>
      </c>
    </row>
    <row r="99" spans="1:10" x14ac:dyDescent="0.2">
      <c r="A99" s="3">
        <v>323</v>
      </c>
      <c r="B99" t="s">
        <v>223</v>
      </c>
      <c r="C99">
        <v>2</v>
      </c>
      <c r="D99">
        <v>155</v>
      </c>
      <c r="E99">
        <v>31.79</v>
      </c>
      <c r="F99">
        <v>80</v>
      </c>
      <c r="G99">
        <v>-50</v>
      </c>
      <c r="H99">
        <v>1.05</v>
      </c>
      <c r="I99">
        <v>15.46</v>
      </c>
      <c r="J99">
        <v>155</v>
      </c>
    </row>
    <row r="100" spans="1:10" x14ac:dyDescent="0.2">
      <c r="A100" s="3">
        <v>323</v>
      </c>
      <c r="B100" t="s">
        <v>225</v>
      </c>
      <c r="C100">
        <v>3</v>
      </c>
      <c r="D100">
        <v>350</v>
      </c>
      <c r="E100">
        <v>71.78</v>
      </c>
      <c r="F100">
        <v>150</v>
      </c>
      <c r="G100">
        <v>-25</v>
      </c>
      <c r="H100">
        <v>1.05</v>
      </c>
      <c r="I100">
        <v>15.89</v>
      </c>
      <c r="J100">
        <v>350</v>
      </c>
    </row>
    <row r="101" spans="1:10" x14ac:dyDescent="0.2">
      <c r="A101" s="3">
        <v>101</v>
      </c>
      <c r="B101" t="s">
        <v>220</v>
      </c>
      <c r="C101">
        <v>1</v>
      </c>
      <c r="D101">
        <v>10</v>
      </c>
      <c r="E101">
        <v>0</v>
      </c>
      <c r="F101">
        <v>10</v>
      </c>
      <c r="G101">
        <v>0</v>
      </c>
      <c r="H101">
        <v>1.0349999999999999</v>
      </c>
      <c r="I101">
        <v>164.02</v>
      </c>
      <c r="J101">
        <v>20</v>
      </c>
    </row>
    <row r="102" spans="1:10" x14ac:dyDescent="0.2">
      <c r="A102" s="3">
        <v>101</v>
      </c>
      <c r="B102" t="s">
        <v>220</v>
      </c>
      <c r="C102">
        <v>2</v>
      </c>
      <c r="D102">
        <v>10</v>
      </c>
      <c r="E102">
        <v>0</v>
      </c>
      <c r="F102">
        <v>10</v>
      </c>
      <c r="G102">
        <v>0</v>
      </c>
      <c r="H102">
        <v>1.0349999999999999</v>
      </c>
      <c r="I102">
        <v>164.02</v>
      </c>
      <c r="J102">
        <v>20</v>
      </c>
    </row>
    <row r="103" spans="1:10" x14ac:dyDescent="0.2">
      <c r="A103" s="3">
        <v>101</v>
      </c>
      <c r="B103" t="s">
        <v>221</v>
      </c>
      <c r="C103">
        <v>3</v>
      </c>
      <c r="D103">
        <v>76</v>
      </c>
      <c r="E103">
        <v>14.1</v>
      </c>
      <c r="F103">
        <v>30</v>
      </c>
      <c r="G103">
        <v>-25</v>
      </c>
      <c r="H103">
        <v>1.0349999999999999</v>
      </c>
      <c r="I103">
        <v>19.64</v>
      </c>
      <c r="J103">
        <v>76</v>
      </c>
    </row>
    <row r="104" spans="1:10" x14ac:dyDescent="0.2">
      <c r="A104" s="3">
        <v>101</v>
      </c>
      <c r="B104" t="s">
        <v>221</v>
      </c>
      <c r="C104">
        <v>4</v>
      </c>
      <c r="D104">
        <v>76</v>
      </c>
      <c r="E104">
        <v>14.1</v>
      </c>
      <c r="F104">
        <v>30</v>
      </c>
      <c r="G104">
        <v>-25</v>
      </c>
      <c r="H104">
        <v>1.0349999999999999</v>
      </c>
      <c r="I104">
        <v>19.64</v>
      </c>
      <c r="J104">
        <v>76</v>
      </c>
    </row>
    <row r="105" spans="1:10" x14ac:dyDescent="0.2">
      <c r="A105" s="3">
        <v>102</v>
      </c>
      <c r="B105" t="s">
        <v>220</v>
      </c>
      <c r="C105">
        <v>1</v>
      </c>
      <c r="D105">
        <v>10</v>
      </c>
      <c r="E105">
        <v>0</v>
      </c>
      <c r="F105">
        <v>10</v>
      </c>
      <c r="G105">
        <v>0</v>
      </c>
      <c r="H105">
        <v>1.0349999999999999</v>
      </c>
      <c r="I105">
        <v>164.02</v>
      </c>
      <c r="J105">
        <v>20</v>
      </c>
    </row>
    <row r="106" spans="1:10" x14ac:dyDescent="0.2">
      <c r="A106" s="3">
        <v>102</v>
      </c>
      <c r="B106" t="s">
        <v>220</v>
      </c>
      <c r="C106">
        <v>2</v>
      </c>
      <c r="D106">
        <v>10</v>
      </c>
      <c r="E106">
        <v>0</v>
      </c>
      <c r="F106">
        <v>10</v>
      </c>
      <c r="G106">
        <v>0</v>
      </c>
      <c r="H106">
        <v>1.0349999999999999</v>
      </c>
      <c r="I106">
        <v>164.02</v>
      </c>
      <c r="J106">
        <v>20</v>
      </c>
    </row>
    <row r="107" spans="1:10" x14ac:dyDescent="0.2">
      <c r="A107" s="3">
        <v>102</v>
      </c>
      <c r="B107" t="s">
        <v>221</v>
      </c>
      <c r="C107">
        <v>3</v>
      </c>
      <c r="D107">
        <v>76</v>
      </c>
      <c r="E107">
        <v>7</v>
      </c>
      <c r="F107">
        <v>30</v>
      </c>
      <c r="G107">
        <v>-25</v>
      </c>
      <c r="H107">
        <v>1.0349999999999999</v>
      </c>
      <c r="I107">
        <v>19.64</v>
      </c>
      <c r="J107">
        <v>76</v>
      </c>
    </row>
    <row r="108" spans="1:10" x14ac:dyDescent="0.2">
      <c r="A108" s="3">
        <v>102</v>
      </c>
      <c r="B108" t="s">
        <v>221</v>
      </c>
      <c r="C108">
        <v>4</v>
      </c>
      <c r="D108">
        <v>76</v>
      </c>
      <c r="E108">
        <v>7</v>
      </c>
      <c r="F108">
        <v>30</v>
      </c>
      <c r="G108">
        <v>-25</v>
      </c>
      <c r="H108">
        <v>1.0349999999999999</v>
      </c>
      <c r="I108">
        <v>19.64</v>
      </c>
      <c r="J108">
        <v>76</v>
      </c>
    </row>
    <row r="109" spans="1:10" x14ac:dyDescent="0.2">
      <c r="A109" s="3">
        <v>107</v>
      </c>
      <c r="B109" t="s">
        <v>222</v>
      </c>
      <c r="C109">
        <v>1</v>
      </c>
      <c r="D109">
        <v>80</v>
      </c>
      <c r="E109">
        <v>17.2</v>
      </c>
      <c r="F109">
        <v>60</v>
      </c>
      <c r="G109">
        <v>0</v>
      </c>
      <c r="H109">
        <v>1.0249999999999999</v>
      </c>
      <c r="I109">
        <v>75.650000000000006</v>
      </c>
      <c r="J109">
        <v>100</v>
      </c>
    </row>
    <row r="110" spans="1:10" x14ac:dyDescent="0.2">
      <c r="A110" s="3">
        <v>107</v>
      </c>
      <c r="B110" t="s">
        <v>222</v>
      </c>
      <c r="C110">
        <v>2</v>
      </c>
      <c r="D110">
        <v>80</v>
      </c>
      <c r="E110">
        <v>17.2</v>
      </c>
      <c r="F110">
        <v>60</v>
      </c>
      <c r="G110">
        <v>0</v>
      </c>
      <c r="H110">
        <v>1.0249999999999999</v>
      </c>
      <c r="I110">
        <v>75.650000000000006</v>
      </c>
      <c r="J110">
        <v>100</v>
      </c>
    </row>
    <row r="111" spans="1:10" x14ac:dyDescent="0.2">
      <c r="A111" s="3">
        <v>107</v>
      </c>
      <c r="B111" t="s">
        <v>222</v>
      </c>
      <c r="C111">
        <v>3</v>
      </c>
      <c r="D111">
        <v>80</v>
      </c>
      <c r="E111">
        <v>17.2</v>
      </c>
      <c r="F111">
        <v>60</v>
      </c>
      <c r="G111">
        <v>0</v>
      </c>
      <c r="H111">
        <v>1.0249999999999999</v>
      </c>
      <c r="I111">
        <v>75.650000000000006</v>
      </c>
      <c r="J111">
        <v>100</v>
      </c>
    </row>
    <row r="112" spans="1:10" x14ac:dyDescent="0.2">
      <c r="A112" s="3">
        <v>113</v>
      </c>
      <c r="B112" t="s">
        <v>224</v>
      </c>
      <c r="C112">
        <v>1</v>
      </c>
      <c r="D112">
        <v>95.1</v>
      </c>
      <c r="E112">
        <v>40.700000000000003</v>
      </c>
      <c r="F112">
        <v>80</v>
      </c>
      <c r="G112">
        <v>0</v>
      </c>
      <c r="H112">
        <v>1.02</v>
      </c>
      <c r="I112">
        <v>74.75</v>
      </c>
      <c r="J112">
        <v>197</v>
      </c>
    </row>
    <row r="113" spans="1:10" x14ac:dyDescent="0.2">
      <c r="A113" s="3">
        <v>113</v>
      </c>
      <c r="B113" t="s">
        <v>224</v>
      </c>
      <c r="C113">
        <v>2</v>
      </c>
      <c r="D113">
        <v>95.1</v>
      </c>
      <c r="E113">
        <v>40.700000000000003</v>
      </c>
      <c r="F113">
        <v>80</v>
      </c>
      <c r="G113">
        <v>0</v>
      </c>
      <c r="H113">
        <v>1.02</v>
      </c>
      <c r="I113">
        <v>74.75</v>
      </c>
      <c r="J113">
        <v>197</v>
      </c>
    </row>
    <row r="114" spans="1:10" x14ac:dyDescent="0.2">
      <c r="A114" s="3">
        <v>113</v>
      </c>
      <c r="B114" t="s">
        <v>224</v>
      </c>
      <c r="C114">
        <v>3</v>
      </c>
      <c r="D114">
        <v>95.1</v>
      </c>
      <c r="E114">
        <v>40.700000000000003</v>
      </c>
      <c r="F114">
        <v>80</v>
      </c>
      <c r="G114">
        <v>0</v>
      </c>
      <c r="H114">
        <v>1.02</v>
      </c>
      <c r="I114">
        <v>74.75</v>
      </c>
      <c r="J114">
        <v>197</v>
      </c>
    </row>
    <row r="115" spans="1:10" x14ac:dyDescent="0.2">
      <c r="A115" s="3">
        <v>114</v>
      </c>
      <c r="B115" t="s">
        <v>228</v>
      </c>
      <c r="C115">
        <v>1</v>
      </c>
      <c r="D115">
        <v>0</v>
      </c>
      <c r="E115">
        <v>13.7</v>
      </c>
      <c r="F115">
        <v>200</v>
      </c>
      <c r="G115">
        <v>-50</v>
      </c>
      <c r="H115">
        <v>0.98</v>
      </c>
      <c r="I115">
        <v>0</v>
      </c>
      <c r="J115">
        <v>-1</v>
      </c>
    </row>
    <row r="116" spans="1:10" x14ac:dyDescent="0.2">
      <c r="A116" s="3">
        <v>115</v>
      </c>
      <c r="B116" t="s">
        <v>219</v>
      </c>
      <c r="C116">
        <v>1</v>
      </c>
      <c r="D116">
        <v>12</v>
      </c>
      <c r="E116">
        <v>0</v>
      </c>
      <c r="F116">
        <v>6</v>
      </c>
      <c r="G116">
        <v>0</v>
      </c>
      <c r="H116">
        <v>1.014</v>
      </c>
      <c r="I116">
        <v>94.74</v>
      </c>
      <c r="J116">
        <v>12</v>
      </c>
    </row>
    <row r="117" spans="1:10" x14ac:dyDescent="0.2">
      <c r="A117" s="3">
        <v>115</v>
      </c>
      <c r="B117" t="s">
        <v>219</v>
      </c>
      <c r="C117">
        <v>2</v>
      </c>
      <c r="D117">
        <v>12</v>
      </c>
      <c r="E117">
        <v>0</v>
      </c>
      <c r="F117">
        <v>6</v>
      </c>
      <c r="G117">
        <v>0</v>
      </c>
      <c r="H117">
        <v>1.014</v>
      </c>
      <c r="I117">
        <v>94.74</v>
      </c>
      <c r="J117">
        <v>12</v>
      </c>
    </row>
    <row r="118" spans="1:10" x14ac:dyDescent="0.2">
      <c r="A118" s="3">
        <v>115</v>
      </c>
      <c r="B118" t="s">
        <v>219</v>
      </c>
      <c r="C118">
        <v>3</v>
      </c>
      <c r="D118">
        <v>12</v>
      </c>
      <c r="E118">
        <v>0</v>
      </c>
      <c r="F118">
        <v>6</v>
      </c>
      <c r="G118">
        <v>0</v>
      </c>
      <c r="H118">
        <v>1.014</v>
      </c>
      <c r="I118">
        <v>94.74</v>
      </c>
      <c r="J118">
        <v>12</v>
      </c>
    </row>
    <row r="119" spans="1:10" x14ac:dyDescent="0.2">
      <c r="A119" s="3">
        <v>115</v>
      </c>
      <c r="B119" t="s">
        <v>219</v>
      </c>
      <c r="C119">
        <v>4</v>
      </c>
      <c r="D119">
        <v>12</v>
      </c>
      <c r="E119">
        <v>0</v>
      </c>
      <c r="F119">
        <v>6</v>
      </c>
      <c r="G119">
        <v>0</v>
      </c>
      <c r="H119">
        <v>1.014</v>
      </c>
      <c r="I119">
        <v>94.74</v>
      </c>
      <c r="J119">
        <v>12</v>
      </c>
    </row>
    <row r="120" spans="1:10" x14ac:dyDescent="0.2">
      <c r="A120" s="3">
        <v>115</v>
      </c>
      <c r="B120" t="s">
        <v>219</v>
      </c>
      <c r="C120">
        <v>5</v>
      </c>
      <c r="D120">
        <v>12</v>
      </c>
      <c r="E120">
        <v>0</v>
      </c>
      <c r="F120">
        <v>6</v>
      </c>
      <c r="G120">
        <v>0</v>
      </c>
      <c r="H120">
        <v>1.014</v>
      </c>
      <c r="I120">
        <v>94.74</v>
      </c>
      <c r="J120">
        <v>12</v>
      </c>
    </row>
    <row r="121" spans="1:10" x14ac:dyDescent="0.2">
      <c r="A121" s="3">
        <v>115</v>
      </c>
      <c r="B121" t="s">
        <v>223</v>
      </c>
      <c r="C121">
        <v>6</v>
      </c>
      <c r="D121">
        <v>155</v>
      </c>
      <c r="E121">
        <v>0.05</v>
      </c>
      <c r="F121">
        <v>80</v>
      </c>
      <c r="G121">
        <v>-50</v>
      </c>
      <c r="H121">
        <v>1.014</v>
      </c>
      <c r="I121">
        <v>15.46</v>
      </c>
      <c r="J121">
        <v>155</v>
      </c>
    </row>
    <row r="122" spans="1:10" x14ac:dyDescent="0.2">
      <c r="A122" s="3">
        <v>116</v>
      </c>
      <c r="B122" t="s">
        <v>223</v>
      </c>
      <c r="C122">
        <v>1</v>
      </c>
      <c r="D122">
        <v>155</v>
      </c>
      <c r="E122">
        <v>25.22</v>
      </c>
      <c r="F122">
        <v>80</v>
      </c>
      <c r="G122">
        <v>-50</v>
      </c>
      <c r="H122">
        <v>1.0169999999999999</v>
      </c>
      <c r="I122">
        <v>15.46</v>
      </c>
      <c r="J122">
        <v>155</v>
      </c>
    </row>
    <row r="123" spans="1:10" x14ac:dyDescent="0.2">
      <c r="A123" s="3">
        <v>118</v>
      </c>
      <c r="B123" t="s">
        <v>226</v>
      </c>
      <c r="C123">
        <v>1</v>
      </c>
      <c r="D123">
        <v>400</v>
      </c>
      <c r="E123">
        <v>137.4</v>
      </c>
      <c r="F123">
        <v>200</v>
      </c>
      <c r="G123">
        <v>-50</v>
      </c>
      <c r="H123">
        <v>1.05</v>
      </c>
      <c r="I123">
        <v>5.46</v>
      </c>
      <c r="J123">
        <v>400</v>
      </c>
    </row>
    <row r="124" spans="1:10" x14ac:dyDescent="0.2">
      <c r="A124" s="3">
        <v>121</v>
      </c>
      <c r="B124" t="s">
        <v>226</v>
      </c>
      <c r="C124">
        <v>1</v>
      </c>
      <c r="D124">
        <v>400</v>
      </c>
      <c r="E124">
        <v>108.2</v>
      </c>
      <c r="F124">
        <v>200</v>
      </c>
      <c r="G124">
        <v>-50</v>
      </c>
      <c r="H124">
        <v>1.05</v>
      </c>
      <c r="I124">
        <v>5.46</v>
      </c>
      <c r="J124">
        <v>400</v>
      </c>
    </row>
    <row r="125" spans="1:10" x14ac:dyDescent="0.2">
      <c r="A125" s="3">
        <v>122</v>
      </c>
      <c r="B125" t="s">
        <v>227</v>
      </c>
      <c r="C125">
        <v>1</v>
      </c>
      <c r="D125">
        <v>50</v>
      </c>
      <c r="E125">
        <v>-4.96</v>
      </c>
      <c r="F125">
        <v>16</v>
      </c>
      <c r="G125">
        <v>-10</v>
      </c>
      <c r="H125">
        <v>1.05</v>
      </c>
      <c r="I125">
        <v>0</v>
      </c>
      <c r="J125">
        <v>50</v>
      </c>
    </row>
    <row r="126" spans="1:10" x14ac:dyDescent="0.2">
      <c r="A126" s="3">
        <v>122</v>
      </c>
      <c r="B126" t="s">
        <v>227</v>
      </c>
      <c r="C126">
        <v>2</v>
      </c>
      <c r="D126">
        <v>50</v>
      </c>
      <c r="E126">
        <v>-4.96</v>
      </c>
      <c r="F126">
        <v>16</v>
      </c>
      <c r="G126">
        <v>-10</v>
      </c>
      <c r="H126">
        <v>1.05</v>
      </c>
      <c r="I126">
        <v>0</v>
      </c>
      <c r="J126">
        <v>50</v>
      </c>
    </row>
    <row r="127" spans="1:10" x14ac:dyDescent="0.2">
      <c r="A127" s="3">
        <v>122</v>
      </c>
      <c r="B127" t="s">
        <v>227</v>
      </c>
      <c r="C127">
        <v>3</v>
      </c>
      <c r="D127">
        <v>50</v>
      </c>
      <c r="E127">
        <v>-4.96</v>
      </c>
      <c r="F127">
        <v>16</v>
      </c>
      <c r="G127">
        <v>-10</v>
      </c>
      <c r="H127">
        <v>1.05</v>
      </c>
      <c r="I127">
        <v>0</v>
      </c>
      <c r="J127">
        <v>50</v>
      </c>
    </row>
    <row r="128" spans="1:10" x14ac:dyDescent="0.2">
      <c r="A128" s="3">
        <v>122</v>
      </c>
      <c r="B128" t="s">
        <v>227</v>
      </c>
      <c r="C128">
        <v>4</v>
      </c>
      <c r="D128">
        <v>50</v>
      </c>
      <c r="E128">
        <v>-4.96</v>
      </c>
      <c r="F128">
        <v>16</v>
      </c>
      <c r="G128">
        <v>-10</v>
      </c>
      <c r="H128">
        <v>1.05</v>
      </c>
      <c r="I128">
        <v>0</v>
      </c>
      <c r="J128">
        <v>50</v>
      </c>
    </row>
    <row r="129" spans="1:10" x14ac:dyDescent="0.2">
      <c r="A129" s="3">
        <v>122</v>
      </c>
      <c r="B129" t="s">
        <v>227</v>
      </c>
      <c r="C129">
        <v>5</v>
      </c>
      <c r="D129">
        <v>50</v>
      </c>
      <c r="E129">
        <v>-4.96</v>
      </c>
      <c r="F129">
        <v>16</v>
      </c>
      <c r="G129">
        <v>-10</v>
      </c>
      <c r="H129">
        <v>1.05</v>
      </c>
      <c r="I129">
        <v>0</v>
      </c>
      <c r="J129">
        <v>50</v>
      </c>
    </row>
    <row r="130" spans="1:10" x14ac:dyDescent="0.2">
      <c r="A130" s="3">
        <v>122</v>
      </c>
      <c r="B130" t="s">
        <v>227</v>
      </c>
      <c r="C130">
        <v>6</v>
      </c>
      <c r="D130">
        <v>50</v>
      </c>
      <c r="E130">
        <v>-4.96</v>
      </c>
      <c r="F130">
        <v>16</v>
      </c>
      <c r="G130">
        <v>-10</v>
      </c>
      <c r="H130">
        <v>1.05</v>
      </c>
      <c r="I130">
        <v>0</v>
      </c>
      <c r="J130">
        <v>50</v>
      </c>
    </row>
    <row r="131" spans="1:10" x14ac:dyDescent="0.2">
      <c r="A131" s="3">
        <v>123</v>
      </c>
      <c r="B131" t="s">
        <v>223</v>
      </c>
      <c r="C131">
        <v>1</v>
      </c>
      <c r="D131">
        <v>155</v>
      </c>
      <c r="E131">
        <v>31.79</v>
      </c>
      <c r="F131">
        <v>80</v>
      </c>
      <c r="G131">
        <v>-50</v>
      </c>
      <c r="H131">
        <v>1.05</v>
      </c>
      <c r="I131">
        <v>15.46</v>
      </c>
      <c r="J131">
        <v>155</v>
      </c>
    </row>
    <row r="132" spans="1:10" x14ac:dyDescent="0.2">
      <c r="A132" s="3">
        <v>123</v>
      </c>
      <c r="B132" t="s">
        <v>223</v>
      </c>
      <c r="C132">
        <v>2</v>
      </c>
      <c r="D132">
        <v>155</v>
      </c>
      <c r="E132">
        <v>31.79</v>
      </c>
      <c r="F132">
        <v>80</v>
      </c>
      <c r="G132">
        <v>-50</v>
      </c>
      <c r="H132">
        <v>1.05</v>
      </c>
      <c r="I132">
        <v>15.46</v>
      </c>
      <c r="J132">
        <v>155</v>
      </c>
    </row>
    <row r="133" spans="1:10" x14ac:dyDescent="0.2">
      <c r="A133" s="3">
        <v>123</v>
      </c>
      <c r="B133" t="s">
        <v>225</v>
      </c>
      <c r="C133">
        <v>3</v>
      </c>
      <c r="D133">
        <v>350</v>
      </c>
      <c r="E133">
        <v>71.78</v>
      </c>
      <c r="F133">
        <v>150</v>
      </c>
      <c r="G133">
        <v>-25</v>
      </c>
      <c r="H133">
        <v>1.05</v>
      </c>
      <c r="I133">
        <v>15.89</v>
      </c>
      <c r="J133">
        <v>350</v>
      </c>
    </row>
    <row r="134" spans="1:10" x14ac:dyDescent="0.2">
      <c r="A134" s="3">
        <v>201</v>
      </c>
      <c r="B134" t="s">
        <v>220</v>
      </c>
      <c r="C134">
        <v>1</v>
      </c>
      <c r="D134">
        <v>10</v>
      </c>
      <c r="E134">
        <v>0</v>
      </c>
      <c r="F134">
        <v>10</v>
      </c>
      <c r="G134">
        <v>0</v>
      </c>
      <c r="H134">
        <v>1.0349999999999999</v>
      </c>
      <c r="I134">
        <v>164.02</v>
      </c>
      <c r="J134">
        <v>20</v>
      </c>
    </row>
    <row r="135" spans="1:10" x14ac:dyDescent="0.2">
      <c r="A135" s="3">
        <v>201</v>
      </c>
      <c r="B135" t="s">
        <v>220</v>
      </c>
      <c r="C135">
        <v>2</v>
      </c>
      <c r="D135">
        <v>10</v>
      </c>
      <c r="E135">
        <v>0</v>
      </c>
      <c r="F135">
        <v>10</v>
      </c>
      <c r="G135">
        <v>0</v>
      </c>
      <c r="H135">
        <v>1.0349999999999999</v>
      </c>
      <c r="I135">
        <v>164.02</v>
      </c>
      <c r="J135">
        <v>20</v>
      </c>
    </row>
    <row r="136" spans="1:10" x14ac:dyDescent="0.2">
      <c r="A136" s="3">
        <v>201</v>
      </c>
      <c r="B136" t="s">
        <v>221</v>
      </c>
      <c r="C136">
        <v>3</v>
      </c>
      <c r="D136">
        <v>76</v>
      </c>
      <c r="E136">
        <v>14.1</v>
      </c>
      <c r="F136">
        <v>30</v>
      </c>
      <c r="G136">
        <v>-25</v>
      </c>
      <c r="H136">
        <v>1.0349999999999999</v>
      </c>
      <c r="I136">
        <v>19.64</v>
      </c>
      <c r="J136">
        <v>76</v>
      </c>
    </row>
    <row r="137" spans="1:10" x14ac:dyDescent="0.2">
      <c r="A137" s="3">
        <v>201</v>
      </c>
      <c r="B137" t="s">
        <v>221</v>
      </c>
      <c r="C137">
        <v>4</v>
      </c>
      <c r="D137">
        <v>76</v>
      </c>
      <c r="E137">
        <v>14.1</v>
      </c>
      <c r="F137">
        <v>30</v>
      </c>
      <c r="G137">
        <v>-25</v>
      </c>
      <c r="H137">
        <v>1.0349999999999999</v>
      </c>
      <c r="I137">
        <v>19.64</v>
      </c>
      <c r="J137">
        <v>76</v>
      </c>
    </row>
    <row r="138" spans="1:10" x14ac:dyDescent="0.2">
      <c r="A138" s="3">
        <v>202</v>
      </c>
      <c r="B138" t="s">
        <v>220</v>
      </c>
      <c r="C138">
        <v>1</v>
      </c>
      <c r="D138">
        <v>10</v>
      </c>
      <c r="E138">
        <v>0</v>
      </c>
      <c r="F138">
        <v>10</v>
      </c>
      <c r="G138">
        <v>0</v>
      </c>
      <c r="H138">
        <v>1.0349999999999999</v>
      </c>
      <c r="I138">
        <v>164.02</v>
      </c>
      <c r="J138">
        <v>20</v>
      </c>
    </row>
    <row r="139" spans="1:10" x14ac:dyDescent="0.2">
      <c r="A139" s="3">
        <v>202</v>
      </c>
      <c r="B139" t="s">
        <v>220</v>
      </c>
      <c r="C139">
        <v>2</v>
      </c>
      <c r="D139">
        <v>10</v>
      </c>
      <c r="E139">
        <v>0</v>
      </c>
      <c r="F139">
        <v>10</v>
      </c>
      <c r="G139">
        <v>0</v>
      </c>
      <c r="H139">
        <v>1.0349999999999999</v>
      </c>
      <c r="I139">
        <v>164.02</v>
      </c>
      <c r="J139">
        <v>20</v>
      </c>
    </row>
    <row r="140" spans="1:10" x14ac:dyDescent="0.2">
      <c r="A140" s="3">
        <v>202</v>
      </c>
      <c r="B140" t="s">
        <v>221</v>
      </c>
      <c r="C140">
        <v>3</v>
      </c>
      <c r="D140">
        <v>76</v>
      </c>
      <c r="E140">
        <v>7</v>
      </c>
      <c r="F140">
        <v>30</v>
      </c>
      <c r="G140">
        <v>-25</v>
      </c>
      <c r="H140">
        <v>1.0349999999999999</v>
      </c>
      <c r="I140">
        <v>19.64</v>
      </c>
      <c r="J140">
        <v>76</v>
      </c>
    </row>
    <row r="141" spans="1:10" x14ac:dyDescent="0.2">
      <c r="A141" s="3">
        <v>202</v>
      </c>
      <c r="B141" t="s">
        <v>221</v>
      </c>
      <c r="C141">
        <v>4</v>
      </c>
      <c r="D141">
        <v>76</v>
      </c>
      <c r="E141">
        <v>7</v>
      </c>
      <c r="F141">
        <v>30</v>
      </c>
      <c r="G141">
        <v>-25</v>
      </c>
      <c r="H141">
        <v>1.0349999999999999</v>
      </c>
      <c r="I141">
        <v>19.64</v>
      </c>
      <c r="J141">
        <v>76</v>
      </c>
    </row>
    <row r="142" spans="1:10" x14ac:dyDescent="0.2">
      <c r="A142" s="3">
        <v>207</v>
      </c>
      <c r="B142" t="s">
        <v>222</v>
      </c>
      <c r="C142">
        <v>1</v>
      </c>
      <c r="D142">
        <v>80</v>
      </c>
      <c r="E142">
        <v>17.2</v>
      </c>
      <c r="F142">
        <v>60</v>
      </c>
      <c r="G142">
        <v>0</v>
      </c>
      <c r="H142">
        <v>1.0249999999999999</v>
      </c>
      <c r="I142">
        <v>75.650000000000006</v>
      </c>
      <c r="J142">
        <v>100</v>
      </c>
    </row>
    <row r="143" spans="1:10" x14ac:dyDescent="0.2">
      <c r="A143" s="3">
        <v>207</v>
      </c>
      <c r="B143" t="s">
        <v>222</v>
      </c>
      <c r="C143">
        <v>2</v>
      </c>
      <c r="D143">
        <v>80</v>
      </c>
      <c r="E143">
        <v>17.2</v>
      </c>
      <c r="F143">
        <v>60</v>
      </c>
      <c r="G143">
        <v>0</v>
      </c>
      <c r="H143">
        <v>1.0249999999999999</v>
      </c>
      <c r="I143">
        <v>75.650000000000006</v>
      </c>
      <c r="J143">
        <v>100</v>
      </c>
    </row>
    <row r="144" spans="1:10" x14ac:dyDescent="0.2">
      <c r="A144" s="3">
        <v>207</v>
      </c>
      <c r="B144" t="s">
        <v>222</v>
      </c>
      <c r="C144">
        <v>3</v>
      </c>
      <c r="D144">
        <v>80</v>
      </c>
      <c r="E144">
        <v>17.2</v>
      </c>
      <c r="F144">
        <v>60</v>
      </c>
      <c r="G144">
        <v>0</v>
      </c>
      <c r="H144">
        <v>1.0249999999999999</v>
      </c>
      <c r="I144">
        <v>75.650000000000006</v>
      </c>
      <c r="J144">
        <v>100</v>
      </c>
    </row>
    <row r="145" spans="1:10" x14ac:dyDescent="0.2">
      <c r="A145" s="3">
        <v>213</v>
      </c>
      <c r="B145" t="s">
        <v>224</v>
      </c>
      <c r="C145">
        <v>1</v>
      </c>
      <c r="D145">
        <v>95.1</v>
      </c>
      <c r="E145">
        <v>40.700000000000003</v>
      </c>
      <c r="F145">
        <v>80</v>
      </c>
      <c r="G145">
        <v>0</v>
      </c>
      <c r="H145">
        <v>1.02</v>
      </c>
      <c r="I145">
        <v>74.75</v>
      </c>
      <c r="J145">
        <v>197</v>
      </c>
    </row>
    <row r="146" spans="1:10" x14ac:dyDescent="0.2">
      <c r="A146" s="3">
        <v>213</v>
      </c>
      <c r="B146" t="s">
        <v>224</v>
      </c>
      <c r="C146">
        <v>2</v>
      </c>
      <c r="D146">
        <v>95.1</v>
      </c>
      <c r="E146">
        <v>40.700000000000003</v>
      </c>
      <c r="F146">
        <v>80</v>
      </c>
      <c r="G146">
        <v>0</v>
      </c>
      <c r="H146">
        <v>1.02</v>
      </c>
      <c r="I146">
        <v>74.75</v>
      </c>
      <c r="J146">
        <v>197</v>
      </c>
    </row>
    <row r="147" spans="1:10" x14ac:dyDescent="0.2">
      <c r="A147" s="3">
        <v>213</v>
      </c>
      <c r="B147" t="s">
        <v>224</v>
      </c>
      <c r="C147">
        <v>3</v>
      </c>
      <c r="D147">
        <v>95.1</v>
      </c>
      <c r="E147">
        <v>40.700000000000003</v>
      </c>
      <c r="F147">
        <v>80</v>
      </c>
      <c r="G147">
        <v>0</v>
      </c>
      <c r="H147">
        <v>1.02</v>
      </c>
      <c r="I147">
        <v>74.75</v>
      </c>
      <c r="J147">
        <v>197</v>
      </c>
    </row>
    <row r="148" spans="1:10" x14ac:dyDescent="0.2">
      <c r="A148" s="3">
        <v>214</v>
      </c>
      <c r="B148" t="s">
        <v>228</v>
      </c>
      <c r="C148">
        <v>1</v>
      </c>
      <c r="D148">
        <v>0</v>
      </c>
      <c r="E148">
        <v>13.68</v>
      </c>
      <c r="F148">
        <v>200</v>
      </c>
      <c r="G148">
        <v>-50</v>
      </c>
      <c r="H148">
        <v>0.98</v>
      </c>
      <c r="I148">
        <v>0</v>
      </c>
      <c r="J148">
        <v>-1</v>
      </c>
    </row>
    <row r="149" spans="1:10" x14ac:dyDescent="0.2">
      <c r="A149" s="3">
        <v>215</v>
      </c>
      <c r="B149" t="s">
        <v>219</v>
      </c>
      <c r="C149">
        <v>1</v>
      </c>
      <c r="D149">
        <v>12</v>
      </c>
      <c r="E149">
        <v>0</v>
      </c>
      <c r="F149">
        <v>6</v>
      </c>
      <c r="G149">
        <v>0</v>
      </c>
      <c r="H149">
        <v>1.014</v>
      </c>
      <c r="I149">
        <v>94.74</v>
      </c>
      <c r="J149">
        <v>12</v>
      </c>
    </row>
    <row r="150" spans="1:10" x14ac:dyDescent="0.2">
      <c r="A150" s="3">
        <v>215</v>
      </c>
      <c r="B150" t="s">
        <v>219</v>
      </c>
      <c r="C150">
        <v>2</v>
      </c>
      <c r="D150">
        <v>12</v>
      </c>
      <c r="E150">
        <v>0</v>
      </c>
      <c r="F150">
        <v>6</v>
      </c>
      <c r="G150">
        <v>0</v>
      </c>
      <c r="H150">
        <v>1.014</v>
      </c>
      <c r="I150">
        <v>94.74</v>
      </c>
      <c r="J150">
        <v>12</v>
      </c>
    </row>
    <row r="151" spans="1:10" x14ac:dyDescent="0.2">
      <c r="A151" s="3">
        <v>215</v>
      </c>
      <c r="B151" t="s">
        <v>219</v>
      </c>
      <c r="C151">
        <v>3</v>
      </c>
      <c r="D151">
        <v>12</v>
      </c>
      <c r="E151">
        <v>0</v>
      </c>
      <c r="F151">
        <v>6</v>
      </c>
      <c r="G151">
        <v>0</v>
      </c>
      <c r="H151">
        <v>1.014</v>
      </c>
      <c r="I151">
        <v>94.74</v>
      </c>
      <c r="J151">
        <v>12</v>
      </c>
    </row>
    <row r="152" spans="1:10" x14ac:dyDescent="0.2">
      <c r="A152" s="3">
        <v>215</v>
      </c>
      <c r="B152" t="s">
        <v>219</v>
      </c>
      <c r="C152">
        <v>4</v>
      </c>
      <c r="D152">
        <v>12</v>
      </c>
      <c r="E152">
        <v>0</v>
      </c>
      <c r="F152">
        <v>6</v>
      </c>
      <c r="G152">
        <v>0</v>
      </c>
      <c r="H152">
        <v>1.014</v>
      </c>
      <c r="I152">
        <v>94.74</v>
      </c>
      <c r="J152">
        <v>12</v>
      </c>
    </row>
    <row r="153" spans="1:10" x14ac:dyDescent="0.2">
      <c r="A153" s="3">
        <v>215</v>
      </c>
      <c r="B153" t="s">
        <v>219</v>
      </c>
      <c r="C153">
        <v>5</v>
      </c>
      <c r="D153">
        <v>12</v>
      </c>
      <c r="E153">
        <v>0</v>
      </c>
      <c r="F153">
        <v>6</v>
      </c>
      <c r="G153">
        <v>0</v>
      </c>
      <c r="H153">
        <v>1.014</v>
      </c>
      <c r="I153">
        <v>94.74</v>
      </c>
      <c r="J153">
        <v>12</v>
      </c>
    </row>
    <row r="154" spans="1:10" x14ac:dyDescent="0.2">
      <c r="A154" s="3">
        <v>215</v>
      </c>
      <c r="B154" t="s">
        <v>223</v>
      </c>
      <c r="C154">
        <v>6</v>
      </c>
      <c r="D154">
        <v>155</v>
      </c>
      <c r="E154">
        <v>4.8000000000000001E-2</v>
      </c>
      <c r="F154">
        <v>80</v>
      </c>
      <c r="G154">
        <v>-50</v>
      </c>
      <c r="H154">
        <v>1.014</v>
      </c>
      <c r="I154">
        <v>15.46</v>
      </c>
      <c r="J154">
        <v>155</v>
      </c>
    </row>
    <row r="155" spans="1:10" x14ac:dyDescent="0.2">
      <c r="A155" s="3">
        <v>216</v>
      </c>
      <c r="B155" t="s">
        <v>223</v>
      </c>
      <c r="C155">
        <v>1</v>
      </c>
      <c r="D155">
        <v>155</v>
      </c>
      <c r="E155">
        <v>25.22</v>
      </c>
      <c r="F155">
        <v>80</v>
      </c>
      <c r="G155">
        <v>-50</v>
      </c>
      <c r="H155">
        <v>1.0169999999999999</v>
      </c>
      <c r="I155">
        <v>15.46</v>
      </c>
      <c r="J155">
        <v>155</v>
      </c>
    </row>
    <row r="156" spans="1:10" x14ac:dyDescent="0.2">
      <c r="A156" s="3">
        <v>218</v>
      </c>
      <c r="B156" t="s">
        <v>226</v>
      </c>
      <c r="C156">
        <v>1</v>
      </c>
      <c r="D156">
        <v>400</v>
      </c>
      <c r="E156">
        <v>137.4</v>
      </c>
      <c r="F156">
        <v>200</v>
      </c>
      <c r="G156">
        <v>-50</v>
      </c>
      <c r="H156">
        <v>1.05</v>
      </c>
      <c r="I156">
        <v>5.46</v>
      </c>
      <c r="J156">
        <v>400</v>
      </c>
    </row>
    <row r="157" spans="1:10" x14ac:dyDescent="0.2">
      <c r="A157" s="3">
        <v>221</v>
      </c>
      <c r="B157" t="s">
        <v>226</v>
      </c>
      <c r="C157">
        <v>1</v>
      </c>
      <c r="D157">
        <v>400</v>
      </c>
      <c r="E157">
        <v>108.2</v>
      </c>
      <c r="F157">
        <v>200</v>
      </c>
      <c r="G157">
        <v>-50</v>
      </c>
      <c r="H157">
        <v>1.05</v>
      </c>
      <c r="I157">
        <v>5.46</v>
      </c>
      <c r="J157">
        <v>400</v>
      </c>
    </row>
    <row r="158" spans="1:10" x14ac:dyDescent="0.2">
      <c r="A158" s="3">
        <v>222</v>
      </c>
      <c r="B158" t="s">
        <v>227</v>
      </c>
      <c r="C158">
        <v>1</v>
      </c>
      <c r="D158">
        <v>50</v>
      </c>
      <c r="E158">
        <v>-4.96</v>
      </c>
      <c r="F158">
        <v>16</v>
      </c>
      <c r="G158">
        <v>-10</v>
      </c>
      <c r="H158">
        <v>1.05</v>
      </c>
      <c r="I158">
        <v>0</v>
      </c>
      <c r="J158">
        <v>50</v>
      </c>
    </row>
    <row r="159" spans="1:10" x14ac:dyDescent="0.2">
      <c r="A159" s="3">
        <v>222</v>
      </c>
      <c r="B159" t="s">
        <v>227</v>
      </c>
      <c r="C159">
        <v>2</v>
      </c>
      <c r="D159">
        <v>50</v>
      </c>
      <c r="E159">
        <v>-4.96</v>
      </c>
      <c r="F159">
        <v>16</v>
      </c>
      <c r="G159">
        <v>-10</v>
      </c>
      <c r="H159">
        <v>1.05</v>
      </c>
      <c r="I159">
        <v>0</v>
      </c>
      <c r="J159">
        <v>50</v>
      </c>
    </row>
    <row r="160" spans="1:10" x14ac:dyDescent="0.2">
      <c r="A160" s="3">
        <v>222</v>
      </c>
      <c r="B160" t="s">
        <v>227</v>
      </c>
      <c r="C160">
        <v>3</v>
      </c>
      <c r="D160">
        <v>50</v>
      </c>
      <c r="E160">
        <v>-4.96</v>
      </c>
      <c r="F160">
        <v>16</v>
      </c>
      <c r="G160">
        <v>-10</v>
      </c>
      <c r="H160">
        <v>1.05</v>
      </c>
      <c r="I160">
        <v>0</v>
      </c>
      <c r="J160">
        <v>50</v>
      </c>
    </row>
    <row r="161" spans="1:10" x14ac:dyDescent="0.2">
      <c r="A161" s="3">
        <v>222</v>
      </c>
      <c r="B161" t="s">
        <v>227</v>
      </c>
      <c r="C161">
        <v>4</v>
      </c>
      <c r="D161">
        <v>50</v>
      </c>
      <c r="E161">
        <v>-4.96</v>
      </c>
      <c r="F161">
        <v>16</v>
      </c>
      <c r="G161">
        <v>-10</v>
      </c>
      <c r="H161">
        <v>1.05</v>
      </c>
      <c r="I161">
        <v>0</v>
      </c>
      <c r="J161">
        <v>50</v>
      </c>
    </row>
    <row r="162" spans="1:10" x14ac:dyDescent="0.2">
      <c r="A162" s="3">
        <v>222</v>
      </c>
      <c r="B162" t="s">
        <v>227</v>
      </c>
      <c r="C162">
        <v>5</v>
      </c>
      <c r="D162">
        <v>50</v>
      </c>
      <c r="E162">
        <v>-4.96</v>
      </c>
      <c r="F162">
        <v>16</v>
      </c>
      <c r="G162">
        <v>-10</v>
      </c>
      <c r="H162">
        <v>1.05</v>
      </c>
      <c r="I162">
        <v>0</v>
      </c>
      <c r="J162">
        <v>50</v>
      </c>
    </row>
    <row r="163" spans="1:10" x14ac:dyDescent="0.2">
      <c r="A163" s="3">
        <v>222</v>
      </c>
      <c r="B163" t="s">
        <v>227</v>
      </c>
      <c r="C163">
        <v>6</v>
      </c>
      <c r="D163">
        <v>50</v>
      </c>
      <c r="E163">
        <v>-4.96</v>
      </c>
      <c r="F163">
        <v>16</v>
      </c>
      <c r="G163">
        <v>-10</v>
      </c>
      <c r="H163">
        <v>1.05</v>
      </c>
      <c r="I163">
        <v>0</v>
      </c>
      <c r="J163">
        <v>50</v>
      </c>
    </row>
    <row r="164" spans="1:10" x14ac:dyDescent="0.2">
      <c r="A164" s="3">
        <v>223</v>
      </c>
      <c r="B164" t="s">
        <v>223</v>
      </c>
      <c r="C164">
        <v>1</v>
      </c>
      <c r="D164">
        <v>155</v>
      </c>
      <c r="E164">
        <v>31.79</v>
      </c>
      <c r="F164">
        <v>80</v>
      </c>
      <c r="G164">
        <v>-50</v>
      </c>
      <c r="H164">
        <v>1.05</v>
      </c>
      <c r="I164">
        <v>15.46</v>
      </c>
      <c r="J164">
        <v>155</v>
      </c>
    </row>
    <row r="165" spans="1:10" x14ac:dyDescent="0.2">
      <c r="A165" s="3">
        <v>223</v>
      </c>
      <c r="B165" t="s">
        <v>223</v>
      </c>
      <c r="C165">
        <v>2</v>
      </c>
      <c r="D165">
        <v>155</v>
      </c>
      <c r="E165">
        <v>31.79</v>
      </c>
      <c r="F165">
        <v>80</v>
      </c>
      <c r="G165">
        <v>-50</v>
      </c>
      <c r="H165">
        <v>1.05</v>
      </c>
      <c r="I165">
        <v>15.46</v>
      </c>
      <c r="J165">
        <v>155</v>
      </c>
    </row>
    <row r="166" spans="1:10" x14ac:dyDescent="0.2">
      <c r="A166" s="3">
        <v>223</v>
      </c>
      <c r="B166" t="s">
        <v>225</v>
      </c>
      <c r="C166">
        <v>3</v>
      </c>
      <c r="D166">
        <v>350</v>
      </c>
      <c r="E166">
        <v>71.78</v>
      </c>
      <c r="F166">
        <v>150</v>
      </c>
      <c r="G166">
        <v>-25</v>
      </c>
      <c r="H166">
        <v>1.05</v>
      </c>
      <c r="I166">
        <v>15.89</v>
      </c>
      <c r="J166">
        <v>350</v>
      </c>
    </row>
    <row r="167" spans="1:10" x14ac:dyDescent="0.2">
      <c r="A167" s="3">
        <v>301</v>
      </c>
      <c r="B167" t="s">
        <v>220</v>
      </c>
      <c r="C167">
        <v>1</v>
      </c>
      <c r="D167">
        <v>10</v>
      </c>
      <c r="E167">
        <v>0</v>
      </c>
      <c r="F167">
        <v>10</v>
      </c>
      <c r="G167">
        <v>0</v>
      </c>
      <c r="H167">
        <v>1.0349999999999999</v>
      </c>
      <c r="I167">
        <v>164.02</v>
      </c>
      <c r="J167">
        <v>20</v>
      </c>
    </row>
    <row r="168" spans="1:10" x14ac:dyDescent="0.2">
      <c r="A168" s="3">
        <v>301</v>
      </c>
      <c r="B168" t="s">
        <v>220</v>
      </c>
      <c r="C168">
        <v>2</v>
      </c>
      <c r="D168">
        <v>10</v>
      </c>
      <c r="E168">
        <v>0</v>
      </c>
      <c r="F168">
        <v>10</v>
      </c>
      <c r="G168">
        <v>0</v>
      </c>
      <c r="H168">
        <v>1.0349999999999999</v>
      </c>
      <c r="I168">
        <v>164.02</v>
      </c>
      <c r="J168">
        <v>20</v>
      </c>
    </row>
    <row r="169" spans="1:10" x14ac:dyDescent="0.2">
      <c r="A169" s="3">
        <v>301</v>
      </c>
      <c r="B169" t="s">
        <v>221</v>
      </c>
      <c r="C169">
        <v>3</v>
      </c>
      <c r="D169">
        <v>76</v>
      </c>
      <c r="E169">
        <v>14.1</v>
      </c>
      <c r="F169">
        <v>30</v>
      </c>
      <c r="G169">
        <v>-25</v>
      </c>
      <c r="H169">
        <v>1.0349999999999999</v>
      </c>
      <c r="I169">
        <v>19.64</v>
      </c>
      <c r="J169">
        <v>76</v>
      </c>
    </row>
    <row r="170" spans="1:10" x14ac:dyDescent="0.2">
      <c r="A170" s="3">
        <v>301</v>
      </c>
      <c r="B170" t="s">
        <v>221</v>
      </c>
      <c r="C170">
        <v>4</v>
      </c>
      <c r="D170">
        <v>76</v>
      </c>
      <c r="E170">
        <v>14.1</v>
      </c>
      <c r="F170">
        <v>30</v>
      </c>
      <c r="G170">
        <v>-25</v>
      </c>
      <c r="H170">
        <v>1.0349999999999999</v>
      </c>
      <c r="I170">
        <v>19.64</v>
      </c>
      <c r="J170">
        <v>76</v>
      </c>
    </row>
    <row r="171" spans="1:10" x14ac:dyDescent="0.2">
      <c r="A171" s="3">
        <v>302</v>
      </c>
      <c r="B171" t="s">
        <v>220</v>
      </c>
      <c r="C171">
        <v>1</v>
      </c>
      <c r="D171">
        <v>10</v>
      </c>
      <c r="E171">
        <v>0</v>
      </c>
      <c r="F171">
        <v>10</v>
      </c>
      <c r="G171">
        <v>0</v>
      </c>
      <c r="H171">
        <v>1.0349999999999999</v>
      </c>
      <c r="I171">
        <v>164.02</v>
      </c>
      <c r="J171">
        <v>20</v>
      </c>
    </row>
    <row r="172" spans="1:10" x14ac:dyDescent="0.2">
      <c r="A172" s="3">
        <v>302</v>
      </c>
      <c r="B172" t="s">
        <v>220</v>
      </c>
      <c r="C172">
        <v>2</v>
      </c>
      <c r="D172">
        <v>10</v>
      </c>
      <c r="E172">
        <v>0</v>
      </c>
      <c r="F172">
        <v>10</v>
      </c>
      <c r="G172">
        <v>0</v>
      </c>
      <c r="H172">
        <v>1.0349999999999999</v>
      </c>
      <c r="I172">
        <v>164.02</v>
      </c>
      <c r="J172">
        <v>20</v>
      </c>
    </row>
    <row r="173" spans="1:10" x14ac:dyDescent="0.2">
      <c r="A173" s="3">
        <v>302</v>
      </c>
      <c r="B173" t="s">
        <v>221</v>
      </c>
      <c r="C173">
        <v>3</v>
      </c>
      <c r="D173">
        <v>76</v>
      </c>
      <c r="E173">
        <v>7</v>
      </c>
      <c r="F173">
        <v>30</v>
      </c>
      <c r="G173">
        <v>-25</v>
      </c>
      <c r="H173">
        <v>1.0349999999999999</v>
      </c>
      <c r="I173">
        <v>19.64</v>
      </c>
      <c r="J173">
        <v>76</v>
      </c>
    </row>
    <row r="174" spans="1:10" x14ac:dyDescent="0.2">
      <c r="A174" s="3">
        <v>302</v>
      </c>
      <c r="B174" t="s">
        <v>221</v>
      </c>
      <c r="C174">
        <v>4</v>
      </c>
      <c r="D174">
        <v>76</v>
      </c>
      <c r="E174">
        <v>7</v>
      </c>
      <c r="F174">
        <v>30</v>
      </c>
      <c r="G174">
        <v>-25</v>
      </c>
      <c r="H174">
        <v>1.0349999999999999</v>
      </c>
      <c r="I174">
        <v>19.64</v>
      </c>
      <c r="J174">
        <v>76</v>
      </c>
    </row>
    <row r="175" spans="1:10" x14ac:dyDescent="0.2">
      <c r="A175" s="3">
        <v>307</v>
      </c>
      <c r="B175" t="s">
        <v>222</v>
      </c>
      <c r="C175">
        <v>1</v>
      </c>
      <c r="D175">
        <v>80</v>
      </c>
      <c r="E175">
        <v>17.2</v>
      </c>
      <c r="F175">
        <v>60</v>
      </c>
      <c r="G175">
        <v>0</v>
      </c>
      <c r="H175">
        <v>1.0249999999999999</v>
      </c>
      <c r="I175">
        <v>75.650000000000006</v>
      </c>
      <c r="J175">
        <v>100</v>
      </c>
    </row>
    <row r="176" spans="1:10" x14ac:dyDescent="0.2">
      <c r="A176" s="3">
        <v>307</v>
      </c>
      <c r="B176" t="s">
        <v>222</v>
      </c>
      <c r="C176">
        <v>2</v>
      </c>
      <c r="D176">
        <v>80</v>
      </c>
      <c r="E176">
        <v>17.2</v>
      </c>
      <c r="F176">
        <v>60</v>
      </c>
      <c r="G176">
        <v>0</v>
      </c>
      <c r="H176">
        <v>1.0249999999999999</v>
      </c>
      <c r="I176">
        <v>75.650000000000006</v>
      </c>
      <c r="J176">
        <v>100</v>
      </c>
    </row>
    <row r="177" spans="1:10" x14ac:dyDescent="0.2">
      <c r="A177" s="3">
        <v>307</v>
      </c>
      <c r="B177" t="s">
        <v>222</v>
      </c>
      <c r="C177">
        <v>3</v>
      </c>
      <c r="D177">
        <v>80</v>
      </c>
      <c r="E177">
        <v>17.2</v>
      </c>
      <c r="F177">
        <v>60</v>
      </c>
      <c r="G177">
        <v>0</v>
      </c>
      <c r="H177">
        <v>1.0249999999999999</v>
      </c>
      <c r="I177">
        <v>75.650000000000006</v>
      </c>
      <c r="J177">
        <v>100</v>
      </c>
    </row>
    <row r="178" spans="1:10" x14ac:dyDescent="0.2">
      <c r="A178" s="3">
        <v>313</v>
      </c>
      <c r="B178" t="s">
        <v>224</v>
      </c>
      <c r="C178">
        <v>1</v>
      </c>
      <c r="D178">
        <v>95.1</v>
      </c>
      <c r="E178">
        <v>40.700000000000003</v>
      </c>
      <c r="F178">
        <v>80</v>
      </c>
      <c r="G178">
        <v>0</v>
      </c>
      <c r="H178">
        <v>1.02</v>
      </c>
      <c r="I178">
        <v>74.75</v>
      </c>
      <c r="J178">
        <v>197</v>
      </c>
    </row>
    <row r="179" spans="1:10" x14ac:dyDescent="0.2">
      <c r="A179" s="3">
        <v>313</v>
      </c>
      <c r="B179" t="s">
        <v>224</v>
      </c>
      <c r="C179">
        <v>2</v>
      </c>
      <c r="D179">
        <v>95.1</v>
      </c>
      <c r="E179">
        <v>40.700000000000003</v>
      </c>
      <c r="F179">
        <v>80</v>
      </c>
      <c r="G179">
        <v>0</v>
      </c>
      <c r="H179">
        <v>1.02</v>
      </c>
      <c r="I179">
        <v>74.75</v>
      </c>
      <c r="J179">
        <v>197</v>
      </c>
    </row>
    <row r="180" spans="1:10" x14ac:dyDescent="0.2">
      <c r="A180" s="3">
        <v>313</v>
      </c>
      <c r="B180" t="s">
        <v>224</v>
      </c>
      <c r="C180">
        <v>3</v>
      </c>
      <c r="D180">
        <v>95.1</v>
      </c>
      <c r="E180">
        <v>40.700000000000003</v>
      </c>
      <c r="F180">
        <v>80</v>
      </c>
      <c r="G180">
        <v>0</v>
      </c>
      <c r="H180">
        <v>1.02</v>
      </c>
      <c r="I180">
        <v>74.75</v>
      </c>
      <c r="J180">
        <v>197</v>
      </c>
    </row>
    <row r="181" spans="1:10" x14ac:dyDescent="0.2">
      <c r="A181" s="3">
        <v>314</v>
      </c>
      <c r="B181" t="s">
        <v>228</v>
      </c>
      <c r="C181">
        <v>1</v>
      </c>
      <c r="D181">
        <v>0</v>
      </c>
      <c r="E181">
        <v>13.68</v>
      </c>
      <c r="F181">
        <v>200</v>
      </c>
      <c r="G181">
        <v>-50</v>
      </c>
      <c r="H181">
        <v>0.98</v>
      </c>
      <c r="I181">
        <v>0</v>
      </c>
      <c r="J181">
        <v>-1</v>
      </c>
    </row>
    <row r="182" spans="1:10" x14ac:dyDescent="0.2">
      <c r="A182" s="3">
        <v>315</v>
      </c>
      <c r="B182" t="s">
        <v>219</v>
      </c>
      <c r="C182">
        <v>1</v>
      </c>
      <c r="D182">
        <v>12</v>
      </c>
      <c r="E182">
        <v>0</v>
      </c>
      <c r="F182">
        <v>6</v>
      </c>
      <c r="G182">
        <v>0</v>
      </c>
      <c r="H182">
        <v>1.014</v>
      </c>
      <c r="I182">
        <v>94.74</v>
      </c>
      <c r="J182">
        <v>12</v>
      </c>
    </row>
    <row r="183" spans="1:10" x14ac:dyDescent="0.2">
      <c r="A183" s="3">
        <v>315</v>
      </c>
      <c r="B183" t="s">
        <v>219</v>
      </c>
      <c r="C183">
        <v>2</v>
      </c>
      <c r="D183">
        <v>12</v>
      </c>
      <c r="E183">
        <v>0</v>
      </c>
      <c r="F183">
        <v>6</v>
      </c>
      <c r="G183">
        <v>0</v>
      </c>
      <c r="H183">
        <v>1.014</v>
      </c>
      <c r="I183">
        <v>94.74</v>
      </c>
      <c r="J183">
        <v>12</v>
      </c>
    </row>
    <row r="184" spans="1:10" x14ac:dyDescent="0.2">
      <c r="A184" s="3">
        <v>315</v>
      </c>
      <c r="B184" t="s">
        <v>219</v>
      </c>
      <c r="C184">
        <v>3</v>
      </c>
      <c r="D184">
        <v>12</v>
      </c>
      <c r="E184">
        <v>0</v>
      </c>
      <c r="F184">
        <v>6</v>
      </c>
      <c r="G184">
        <v>0</v>
      </c>
      <c r="H184">
        <v>1.014</v>
      </c>
      <c r="I184">
        <v>94.74</v>
      </c>
      <c r="J184">
        <v>12</v>
      </c>
    </row>
    <row r="185" spans="1:10" x14ac:dyDescent="0.2">
      <c r="A185" s="3">
        <v>315</v>
      </c>
      <c r="B185" t="s">
        <v>219</v>
      </c>
      <c r="C185">
        <v>4</v>
      </c>
      <c r="D185">
        <v>12</v>
      </c>
      <c r="E185">
        <v>0</v>
      </c>
      <c r="F185">
        <v>6</v>
      </c>
      <c r="G185">
        <v>0</v>
      </c>
      <c r="H185">
        <v>1.014</v>
      </c>
      <c r="I185">
        <v>94.74</v>
      </c>
      <c r="J185">
        <v>12</v>
      </c>
    </row>
    <row r="186" spans="1:10" x14ac:dyDescent="0.2">
      <c r="A186" s="3">
        <v>315</v>
      </c>
      <c r="B186" t="s">
        <v>219</v>
      </c>
      <c r="C186">
        <v>5</v>
      </c>
      <c r="D186">
        <v>12</v>
      </c>
      <c r="E186">
        <v>0</v>
      </c>
      <c r="F186">
        <v>6</v>
      </c>
      <c r="G186">
        <v>0</v>
      </c>
      <c r="H186">
        <v>1.014</v>
      </c>
      <c r="I186">
        <v>94.74</v>
      </c>
      <c r="J186">
        <v>12</v>
      </c>
    </row>
    <row r="187" spans="1:10" x14ac:dyDescent="0.2">
      <c r="A187" s="3">
        <v>315</v>
      </c>
      <c r="B187" t="s">
        <v>223</v>
      </c>
      <c r="C187">
        <v>6</v>
      </c>
      <c r="D187">
        <v>155</v>
      </c>
      <c r="E187">
        <v>4.8000000000000001E-2</v>
      </c>
      <c r="F187">
        <v>80</v>
      </c>
      <c r="G187">
        <v>-50</v>
      </c>
      <c r="H187">
        <v>1.014</v>
      </c>
      <c r="I187">
        <v>15.46</v>
      </c>
      <c r="J187">
        <v>155</v>
      </c>
    </row>
    <row r="188" spans="1:10" x14ac:dyDescent="0.2">
      <c r="A188" s="3">
        <v>316</v>
      </c>
      <c r="B188" t="s">
        <v>223</v>
      </c>
      <c r="C188">
        <v>1</v>
      </c>
      <c r="D188">
        <v>155</v>
      </c>
      <c r="E188">
        <v>25.22</v>
      </c>
      <c r="F188">
        <v>80</v>
      </c>
      <c r="G188">
        <v>-50</v>
      </c>
      <c r="H188">
        <v>1.0169999999999999</v>
      </c>
      <c r="I188">
        <v>15.46</v>
      </c>
      <c r="J188">
        <v>155</v>
      </c>
    </row>
    <row r="189" spans="1:10" x14ac:dyDescent="0.2">
      <c r="A189" s="3">
        <v>318</v>
      </c>
      <c r="B189" t="s">
        <v>226</v>
      </c>
      <c r="C189">
        <v>1</v>
      </c>
      <c r="D189">
        <v>400</v>
      </c>
      <c r="E189">
        <v>137.4</v>
      </c>
      <c r="F189">
        <v>200</v>
      </c>
      <c r="G189">
        <v>-50</v>
      </c>
      <c r="H189">
        <v>1.05</v>
      </c>
      <c r="I189">
        <v>5.46</v>
      </c>
      <c r="J189">
        <v>400</v>
      </c>
    </row>
    <row r="190" spans="1:10" x14ac:dyDescent="0.2">
      <c r="A190" s="3">
        <v>321</v>
      </c>
      <c r="B190" t="s">
        <v>226</v>
      </c>
      <c r="C190">
        <v>1</v>
      </c>
      <c r="D190">
        <v>400</v>
      </c>
      <c r="E190">
        <v>108.2</v>
      </c>
      <c r="F190">
        <v>200</v>
      </c>
      <c r="G190">
        <v>-50</v>
      </c>
      <c r="H190">
        <v>1.05</v>
      </c>
      <c r="I190">
        <v>5.46</v>
      </c>
      <c r="J190">
        <v>400</v>
      </c>
    </row>
    <row r="191" spans="1:10" x14ac:dyDescent="0.2">
      <c r="A191" s="3">
        <v>322</v>
      </c>
      <c r="B191" t="s">
        <v>227</v>
      </c>
      <c r="C191">
        <v>1</v>
      </c>
      <c r="D191">
        <v>50</v>
      </c>
      <c r="E191">
        <v>-4.96</v>
      </c>
      <c r="F191">
        <v>16</v>
      </c>
      <c r="G191">
        <v>-10</v>
      </c>
      <c r="H191">
        <v>1.05</v>
      </c>
      <c r="I191">
        <v>0</v>
      </c>
      <c r="J191">
        <v>50</v>
      </c>
    </row>
    <row r="192" spans="1:10" x14ac:dyDescent="0.2">
      <c r="A192" s="3">
        <v>322</v>
      </c>
      <c r="B192" t="s">
        <v>227</v>
      </c>
      <c r="C192">
        <v>2</v>
      </c>
      <c r="D192">
        <v>50</v>
      </c>
      <c r="E192">
        <v>-4.96</v>
      </c>
      <c r="F192">
        <v>16</v>
      </c>
      <c r="G192">
        <v>-10</v>
      </c>
      <c r="H192">
        <v>1.05</v>
      </c>
      <c r="I192">
        <v>0</v>
      </c>
      <c r="J192">
        <v>50</v>
      </c>
    </row>
    <row r="193" spans="1:10" x14ac:dyDescent="0.2">
      <c r="A193" s="3">
        <v>322</v>
      </c>
      <c r="B193" t="s">
        <v>227</v>
      </c>
      <c r="C193">
        <v>3</v>
      </c>
      <c r="D193">
        <v>50</v>
      </c>
      <c r="E193">
        <v>-4.96</v>
      </c>
      <c r="F193">
        <v>16</v>
      </c>
      <c r="G193">
        <v>-10</v>
      </c>
      <c r="H193">
        <v>1.05</v>
      </c>
      <c r="I193">
        <v>0</v>
      </c>
      <c r="J193">
        <v>50</v>
      </c>
    </row>
    <row r="194" spans="1:10" x14ac:dyDescent="0.2">
      <c r="A194" s="3">
        <v>322</v>
      </c>
      <c r="B194" t="s">
        <v>227</v>
      </c>
      <c r="C194">
        <v>4</v>
      </c>
      <c r="D194">
        <v>50</v>
      </c>
      <c r="E194">
        <v>-4.96</v>
      </c>
      <c r="F194">
        <v>16</v>
      </c>
      <c r="G194">
        <v>-10</v>
      </c>
      <c r="H194">
        <v>1.05</v>
      </c>
      <c r="I194">
        <v>0</v>
      </c>
      <c r="J194">
        <v>50</v>
      </c>
    </row>
    <row r="195" spans="1:10" x14ac:dyDescent="0.2">
      <c r="A195" s="3">
        <v>322</v>
      </c>
      <c r="B195" t="s">
        <v>227</v>
      </c>
      <c r="C195">
        <v>5</v>
      </c>
      <c r="D195">
        <v>50</v>
      </c>
      <c r="E195">
        <v>-4.96</v>
      </c>
      <c r="F195">
        <v>16</v>
      </c>
      <c r="G195">
        <v>-10</v>
      </c>
      <c r="H195">
        <v>1.05</v>
      </c>
      <c r="I195">
        <v>0</v>
      </c>
      <c r="J195">
        <v>50</v>
      </c>
    </row>
    <row r="196" spans="1:10" x14ac:dyDescent="0.2">
      <c r="A196" s="3">
        <v>322</v>
      </c>
      <c r="B196" t="s">
        <v>227</v>
      </c>
      <c r="C196">
        <v>6</v>
      </c>
      <c r="D196">
        <v>50</v>
      </c>
      <c r="E196">
        <v>-4.96</v>
      </c>
      <c r="F196">
        <v>16</v>
      </c>
      <c r="G196">
        <v>-10</v>
      </c>
      <c r="H196">
        <v>1.05</v>
      </c>
      <c r="I196">
        <v>0</v>
      </c>
      <c r="J196">
        <v>50</v>
      </c>
    </row>
    <row r="197" spans="1:10" x14ac:dyDescent="0.2">
      <c r="A197" s="3">
        <v>323</v>
      </c>
      <c r="B197" t="s">
        <v>223</v>
      </c>
      <c r="C197">
        <v>1</v>
      </c>
      <c r="D197">
        <v>155</v>
      </c>
      <c r="E197">
        <v>31.79</v>
      </c>
      <c r="F197">
        <v>80</v>
      </c>
      <c r="G197">
        <v>-50</v>
      </c>
      <c r="H197">
        <v>1.05</v>
      </c>
      <c r="I197">
        <v>15.46</v>
      </c>
      <c r="J197">
        <v>155</v>
      </c>
    </row>
    <row r="198" spans="1:10" x14ac:dyDescent="0.2">
      <c r="A198" s="3">
        <v>323</v>
      </c>
      <c r="B198" t="s">
        <v>223</v>
      </c>
      <c r="C198">
        <v>2</v>
      </c>
      <c r="D198">
        <v>155</v>
      </c>
      <c r="E198">
        <v>31.79</v>
      </c>
      <c r="F198">
        <v>80</v>
      </c>
      <c r="G198">
        <v>-50</v>
      </c>
      <c r="H198">
        <v>1.05</v>
      </c>
      <c r="I198">
        <v>15.46</v>
      </c>
      <c r="J198">
        <v>155</v>
      </c>
    </row>
    <row r="199" spans="1:10" x14ac:dyDescent="0.2">
      <c r="A199" s="3">
        <v>323</v>
      </c>
      <c r="B199" t="s">
        <v>225</v>
      </c>
      <c r="C199">
        <v>3</v>
      </c>
      <c r="D199">
        <v>350</v>
      </c>
      <c r="E199">
        <v>71.78</v>
      </c>
      <c r="F199">
        <v>150</v>
      </c>
      <c r="G199">
        <v>-25</v>
      </c>
      <c r="H199">
        <v>1.05</v>
      </c>
      <c r="I199">
        <v>15.89</v>
      </c>
      <c r="J199">
        <v>350</v>
      </c>
    </row>
    <row r="200" spans="1:10" x14ac:dyDescent="0.2">
      <c r="A200" s="3">
        <v>101</v>
      </c>
      <c r="B200" t="s">
        <v>220</v>
      </c>
      <c r="C200">
        <v>1</v>
      </c>
      <c r="D200">
        <v>10</v>
      </c>
      <c r="E200">
        <v>0</v>
      </c>
      <c r="F200">
        <v>10</v>
      </c>
      <c r="G200">
        <v>0</v>
      </c>
      <c r="H200">
        <v>1.0349999999999999</v>
      </c>
      <c r="I200">
        <v>164.02</v>
      </c>
      <c r="J200">
        <v>20</v>
      </c>
    </row>
    <row r="201" spans="1:10" x14ac:dyDescent="0.2">
      <c r="A201" s="3">
        <v>101</v>
      </c>
      <c r="B201" t="s">
        <v>220</v>
      </c>
      <c r="C201">
        <v>2</v>
      </c>
      <c r="D201">
        <v>10</v>
      </c>
      <c r="E201">
        <v>0</v>
      </c>
      <c r="F201">
        <v>10</v>
      </c>
      <c r="G201">
        <v>0</v>
      </c>
      <c r="H201">
        <v>1.0349999999999999</v>
      </c>
      <c r="I201">
        <v>164.02</v>
      </c>
      <c r="J201">
        <v>20</v>
      </c>
    </row>
    <row r="202" spans="1:10" x14ac:dyDescent="0.2">
      <c r="A202" s="3">
        <v>101</v>
      </c>
      <c r="B202" t="s">
        <v>221</v>
      </c>
      <c r="C202">
        <v>3</v>
      </c>
      <c r="D202">
        <v>76</v>
      </c>
      <c r="E202">
        <v>14.1</v>
      </c>
      <c r="F202">
        <v>30</v>
      </c>
      <c r="G202">
        <v>-25</v>
      </c>
      <c r="H202">
        <v>1.0349999999999999</v>
      </c>
      <c r="I202">
        <v>19.64</v>
      </c>
      <c r="J202">
        <v>76</v>
      </c>
    </row>
    <row r="203" spans="1:10" x14ac:dyDescent="0.2">
      <c r="A203" s="3">
        <v>101</v>
      </c>
      <c r="B203" t="s">
        <v>221</v>
      </c>
      <c r="C203">
        <v>4</v>
      </c>
      <c r="D203">
        <v>76</v>
      </c>
      <c r="E203">
        <v>14.1</v>
      </c>
      <c r="F203">
        <v>30</v>
      </c>
      <c r="G203">
        <v>-25</v>
      </c>
      <c r="H203">
        <v>1.0349999999999999</v>
      </c>
      <c r="I203">
        <v>19.64</v>
      </c>
      <c r="J203">
        <v>76</v>
      </c>
    </row>
    <row r="204" spans="1:10" x14ac:dyDescent="0.2">
      <c r="A204" s="3">
        <v>102</v>
      </c>
      <c r="B204" t="s">
        <v>220</v>
      </c>
      <c r="C204">
        <v>1</v>
      </c>
      <c r="D204">
        <v>10</v>
      </c>
      <c r="E204">
        <v>0</v>
      </c>
      <c r="F204">
        <v>10</v>
      </c>
      <c r="G204">
        <v>0</v>
      </c>
      <c r="H204">
        <v>1.0349999999999999</v>
      </c>
      <c r="I204">
        <v>164.02</v>
      </c>
      <c r="J204">
        <v>20</v>
      </c>
    </row>
    <row r="205" spans="1:10" x14ac:dyDescent="0.2">
      <c r="A205" s="3">
        <v>102</v>
      </c>
      <c r="B205" t="s">
        <v>220</v>
      </c>
      <c r="C205">
        <v>2</v>
      </c>
      <c r="D205">
        <v>10</v>
      </c>
      <c r="E205">
        <v>0</v>
      </c>
      <c r="F205">
        <v>10</v>
      </c>
      <c r="G205">
        <v>0</v>
      </c>
      <c r="H205">
        <v>1.0349999999999999</v>
      </c>
      <c r="I205">
        <v>164.02</v>
      </c>
      <c r="J205">
        <v>20</v>
      </c>
    </row>
    <row r="206" spans="1:10" x14ac:dyDescent="0.2">
      <c r="A206" s="3">
        <v>102</v>
      </c>
      <c r="B206" t="s">
        <v>221</v>
      </c>
      <c r="C206">
        <v>3</v>
      </c>
      <c r="D206">
        <v>76</v>
      </c>
      <c r="E206">
        <v>7</v>
      </c>
      <c r="F206">
        <v>30</v>
      </c>
      <c r="G206">
        <v>-25</v>
      </c>
      <c r="H206">
        <v>1.0349999999999999</v>
      </c>
      <c r="I206">
        <v>19.64</v>
      </c>
      <c r="J206">
        <v>76</v>
      </c>
    </row>
    <row r="207" spans="1:10" x14ac:dyDescent="0.2">
      <c r="A207" s="3">
        <v>102</v>
      </c>
      <c r="B207" t="s">
        <v>221</v>
      </c>
      <c r="C207">
        <v>4</v>
      </c>
      <c r="D207">
        <v>76</v>
      </c>
      <c r="E207">
        <v>7</v>
      </c>
      <c r="F207">
        <v>30</v>
      </c>
      <c r="G207">
        <v>-25</v>
      </c>
      <c r="H207">
        <v>1.0349999999999999</v>
      </c>
      <c r="I207">
        <v>19.64</v>
      </c>
      <c r="J207">
        <v>76</v>
      </c>
    </row>
    <row r="208" spans="1:10" x14ac:dyDescent="0.2">
      <c r="A208" s="3">
        <v>107</v>
      </c>
      <c r="B208" t="s">
        <v>222</v>
      </c>
      <c r="C208">
        <v>1</v>
      </c>
      <c r="D208">
        <v>80</v>
      </c>
      <c r="E208">
        <v>17.2</v>
      </c>
      <c r="F208">
        <v>60</v>
      </c>
      <c r="G208">
        <v>0</v>
      </c>
      <c r="H208">
        <v>1.0249999999999999</v>
      </c>
      <c r="I208">
        <v>75.650000000000006</v>
      </c>
      <c r="J208">
        <v>100</v>
      </c>
    </row>
    <row r="209" spans="1:10" x14ac:dyDescent="0.2">
      <c r="A209" s="3">
        <v>107</v>
      </c>
      <c r="B209" t="s">
        <v>222</v>
      </c>
      <c r="C209">
        <v>2</v>
      </c>
      <c r="D209">
        <v>80</v>
      </c>
      <c r="E209">
        <v>17.2</v>
      </c>
      <c r="F209">
        <v>60</v>
      </c>
      <c r="G209">
        <v>0</v>
      </c>
      <c r="H209">
        <v>1.0249999999999999</v>
      </c>
      <c r="I209">
        <v>75.650000000000006</v>
      </c>
      <c r="J209">
        <v>100</v>
      </c>
    </row>
    <row r="210" spans="1:10" x14ac:dyDescent="0.2">
      <c r="A210" s="3">
        <v>107</v>
      </c>
      <c r="B210" t="s">
        <v>222</v>
      </c>
      <c r="C210">
        <v>3</v>
      </c>
      <c r="D210">
        <v>80</v>
      </c>
      <c r="E210">
        <v>17.2</v>
      </c>
      <c r="F210">
        <v>60</v>
      </c>
      <c r="G210">
        <v>0</v>
      </c>
      <c r="H210">
        <v>1.0249999999999999</v>
      </c>
      <c r="I210">
        <v>75.650000000000006</v>
      </c>
      <c r="J210">
        <v>100</v>
      </c>
    </row>
    <row r="211" spans="1:10" x14ac:dyDescent="0.2">
      <c r="A211" s="3">
        <v>113</v>
      </c>
      <c r="B211" t="s">
        <v>224</v>
      </c>
      <c r="C211">
        <v>1</v>
      </c>
      <c r="D211">
        <v>95.1</v>
      </c>
      <c r="E211">
        <v>40.700000000000003</v>
      </c>
      <c r="F211">
        <v>80</v>
      </c>
      <c r="G211">
        <v>0</v>
      </c>
      <c r="H211">
        <v>1.02</v>
      </c>
      <c r="I211">
        <v>74.75</v>
      </c>
      <c r="J211">
        <v>197</v>
      </c>
    </row>
    <row r="212" spans="1:10" x14ac:dyDescent="0.2">
      <c r="A212" s="3">
        <v>113</v>
      </c>
      <c r="B212" t="s">
        <v>224</v>
      </c>
      <c r="C212">
        <v>2</v>
      </c>
      <c r="D212">
        <v>95.1</v>
      </c>
      <c r="E212">
        <v>40.700000000000003</v>
      </c>
      <c r="F212">
        <v>80</v>
      </c>
      <c r="G212">
        <v>0</v>
      </c>
      <c r="H212">
        <v>1.02</v>
      </c>
      <c r="I212">
        <v>74.75</v>
      </c>
      <c r="J212">
        <v>197</v>
      </c>
    </row>
    <row r="213" spans="1:10" x14ac:dyDescent="0.2">
      <c r="A213" s="3">
        <v>113</v>
      </c>
      <c r="B213" t="s">
        <v>224</v>
      </c>
      <c r="C213">
        <v>3</v>
      </c>
      <c r="D213">
        <v>95.1</v>
      </c>
      <c r="E213">
        <v>40.700000000000003</v>
      </c>
      <c r="F213">
        <v>80</v>
      </c>
      <c r="G213">
        <v>0</v>
      </c>
      <c r="H213">
        <v>1.02</v>
      </c>
      <c r="I213">
        <v>74.75</v>
      </c>
      <c r="J213">
        <v>197</v>
      </c>
    </row>
    <row r="214" spans="1:10" x14ac:dyDescent="0.2">
      <c r="A214" s="3">
        <v>114</v>
      </c>
      <c r="B214" t="s">
        <v>228</v>
      </c>
      <c r="C214">
        <v>1</v>
      </c>
      <c r="D214">
        <v>0</v>
      </c>
      <c r="E214">
        <v>13.7</v>
      </c>
      <c r="F214">
        <v>200</v>
      </c>
      <c r="G214">
        <v>-50</v>
      </c>
      <c r="H214">
        <v>0.98</v>
      </c>
      <c r="I214">
        <v>0</v>
      </c>
      <c r="J214">
        <v>-1</v>
      </c>
    </row>
    <row r="215" spans="1:10" x14ac:dyDescent="0.2">
      <c r="A215" s="3">
        <v>115</v>
      </c>
      <c r="B215" t="s">
        <v>219</v>
      </c>
      <c r="C215">
        <v>1</v>
      </c>
      <c r="D215">
        <v>12</v>
      </c>
      <c r="E215">
        <v>0</v>
      </c>
      <c r="F215">
        <v>6</v>
      </c>
      <c r="G215">
        <v>0</v>
      </c>
      <c r="H215">
        <v>1.014</v>
      </c>
      <c r="I215">
        <v>94.74</v>
      </c>
      <c r="J215">
        <v>12</v>
      </c>
    </row>
    <row r="216" spans="1:10" x14ac:dyDescent="0.2">
      <c r="A216" s="3">
        <v>115</v>
      </c>
      <c r="B216" t="s">
        <v>219</v>
      </c>
      <c r="C216">
        <v>2</v>
      </c>
      <c r="D216">
        <v>12</v>
      </c>
      <c r="E216">
        <v>0</v>
      </c>
      <c r="F216">
        <v>6</v>
      </c>
      <c r="G216">
        <v>0</v>
      </c>
      <c r="H216">
        <v>1.014</v>
      </c>
      <c r="I216">
        <v>94.74</v>
      </c>
      <c r="J216">
        <v>12</v>
      </c>
    </row>
    <row r="217" spans="1:10" x14ac:dyDescent="0.2">
      <c r="A217" s="3">
        <v>115</v>
      </c>
      <c r="B217" t="s">
        <v>219</v>
      </c>
      <c r="C217">
        <v>3</v>
      </c>
      <c r="D217">
        <v>12</v>
      </c>
      <c r="E217">
        <v>0</v>
      </c>
      <c r="F217">
        <v>6</v>
      </c>
      <c r="G217">
        <v>0</v>
      </c>
      <c r="H217">
        <v>1.014</v>
      </c>
      <c r="I217">
        <v>94.74</v>
      </c>
      <c r="J217">
        <v>12</v>
      </c>
    </row>
    <row r="218" spans="1:10" x14ac:dyDescent="0.2">
      <c r="A218" s="3">
        <v>115</v>
      </c>
      <c r="B218" t="s">
        <v>219</v>
      </c>
      <c r="C218">
        <v>4</v>
      </c>
      <c r="D218">
        <v>12</v>
      </c>
      <c r="E218">
        <v>0</v>
      </c>
      <c r="F218">
        <v>6</v>
      </c>
      <c r="G218">
        <v>0</v>
      </c>
      <c r="H218">
        <v>1.014</v>
      </c>
      <c r="I218">
        <v>94.74</v>
      </c>
      <c r="J218">
        <v>12</v>
      </c>
    </row>
    <row r="219" spans="1:10" x14ac:dyDescent="0.2">
      <c r="A219" s="3">
        <v>115</v>
      </c>
      <c r="B219" t="s">
        <v>219</v>
      </c>
      <c r="C219">
        <v>5</v>
      </c>
      <c r="D219">
        <v>12</v>
      </c>
      <c r="E219">
        <v>0</v>
      </c>
      <c r="F219">
        <v>6</v>
      </c>
      <c r="G219">
        <v>0</v>
      </c>
      <c r="H219">
        <v>1.014</v>
      </c>
      <c r="I219">
        <v>94.74</v>
      </c>
      <c r="J219">
        <v>12</v>
      </c>
    </row>
    <row r="220" spans="1:10" x14ac:dyDescent="0.2">
      <c r="A220" s="3">
        <v>115</v>
      </c>
      <c r="B220" t="s">
        <v>223</v>
      </c>
      <c r="C220">
        <v>6</v>
      </c>
      <c r="D220">
        <v>155</v>
      </c>
      <c r="E220">
        <v>0.05</v>
      </c>
      <c r="F220">
        <v>80</v>
      </c>
      <c r="G220">
        <v>-50</v>
      </c>
      <c r="H220">
        <v>1.014</v>
      </c>
      <c r="I220">
        <v>15.46</v>
      </c>
      <c r="J220">
        <v>155</v>
      </c>
    </row>
    <row r="221" spans="1:10" x14ac:dyDescent="0.2">
      <c r="A221" s="3">
        <v>116</v>
      </c>
      <c r="B221" t="s">
        <v>223</v>
      </c>
      <c r="C221">
        <v>1</v>
      </c>
      <c r="D221">
        <v>155</v>
      </c>
      <c r="E221">
        <v>25.22</v>
      </c>
      <c r="F221">
        <v>80</v>
      </c>
      <c r="G221">
        <v>-50</v>
      </c>
      <c r="H221">
        <v>1.0169999999999999</v>
      </c>
      <c r="I221">
        <v>15.46</v>
      </c>
      <c r="J221">
        <v>155</v>
      </c>
    </row>
    <row r="222" spans="1:10" x14ac:dyDescent="0.2">
      <c r="A222" s="3">
        <v>118</v>
      </c>
      <c r="B222" t="s">
        <v>226</v>
      </c>
      <c r="C222">
        <v>1</v>
      </c>
      <c r="D222">
        <v>400</v>
      </c>
      <c r="E222">
        <v>137.4</v>
      </c>
      <c r="F222">
        <v>200</v>
      </c>
      <c r="G222">
        <v>-50</v>
      </c>
      <c r="H222">
        <v>1.05</v>
      </c>
      <c r="I222">
        <v>5.46</v>
      </c>
      <c r="J222">
        <v>400</v>
      </c>
    </row>
    <row r="223" spans="1:10" x14ac:dyDescent="0.2">
      <c r="A223" s="3">
        <v>121</v>
      </c>
      <c r="B223" t="s">
        <v>226</v>
      </c>
      <c r="C223">
        <v>1</v>
      </c>
      <c r="D223">
        <v>400</v>
      </c>
      <c r="E223">
        <v>108.2</v>
      </c>
      <c r="F223">
        <v>200</v>
      </c>
      <c r="G223">
        <v>-50</v>
      </c>
      <c r="H223">
        <v>1.05</v>
      </c>
      <c r="I223">
        <v>5.46</v>
      </c>
      <c r="J223">
        <v>400</v>
      </c>
    </row>
    <row r="224" spans="1:10" x14ac:dyDescent="0.2">
      <c r="A224" s="3">
        <v>122</v>
      </c>
      <c r="B224" t="s">
        <v>227</v>
      </c>
      <c r="C224">
        <v>1</v>
      </c>
      <c r="D224">
        <v>50</v>
      </c>
      <c r="E224">
        <v>-4.96</v>
      </c>
      <c r="F224">
        <v>16</v>
      </c>
      <c r="G224">
        <v>-10</v>
      </c>
      <c r="H224">
        <v>1.05</v>
      </c>
      <c r="I224">
        <v>0</v>
      </c>
      <c r="J224">
        <v>50</v>
      </c>
    </row>
    <row r="225" spans="1:10" x14ac:dyDescent="0.2">
      <c r="A225" s="3">
        <v>122</v>
      </c>
      <c r="B225" t="s">
        <v>227</v>
      </c>
      <c r="C225">
        <v>2</v>
      </c>
      <c r="D225">
        <v>50</v>
      </c>
      <c r="E225">
        <v>-4.96</v>
      </c>
      <c r="F225">
        <v>16</v>
      </c>
      <c r="G225">
        <v>-10</v>
      </c>
      <c r="H225">
        <v>1.05</v>
      </c>
      <c r="I225">
        <v>0</v>
      </c>
      <c r="J225">
        <v>50</v>
      </c>
    </row>
    <row r="226" spans="1:10" x14ac:dyDescent="0.2">
      <c r="A226" s="3">
        <v>122</v>
      </c>
      <c r="B226" t="s">
        <v>227</v>
      </c>
      <c r="C226">
        <v>3</v>
      </c>
      <c r="D226">
        <v>50</v>
      </c>
      <c r="E226">
        <v>-4.96</v>
      </c>
      <c r="F226">
        <v>16</v>
      </c>
      <c r="G226">
        <v>-10</v>
      </c>
      <c r="H226">
        <v>1.05</v>
      </c>
      <c r="I226">
        <v>0</v>
      </c>
      <c r="J226">
        <v>50</v>
      </c>
    </row>
    <row r="227" spans="1:10" x14ac:dyDescent="0.2">
      <c r="A227" s="3">
        <v>122</v>
      </c>
      <c r="B227" t="s">
        <v>227</v>
      </c>
      <c r="C227">
        <v>4</v>
      </c>
      <c r="D227">
        <v>50</v>
      </c>
      <c r="E227">
        <v>-4.96</v>
      </c>
      <c r="F227">
        <v>16</v>
      </c>
      <c r="G227">
        <v>-10</v>
      </c>
      <c r="H227">
        <v>1.05</v>
      </c>
      <c r="I227">
        <v>0</v>
      </c>
      <c r="J227">
        <v>50</v>
      </c>
    </row>
    <row r="228" spans="1:10" x14ac:dyDescent="0.2">
      <c r="A228" s="3">
        <v>122</v>
      </c>
      <c r="B228" t="s">
        <v>227</v>
      </c>
      <c r="C228">
        <v>5</v>
      </c>
      <c r="D228">
        <v>50</v>
      </c>
      <c r="E228">
        <v>-4.96</v>
      </c>
      <c r="F228">
        <v>16</v>
      </c>
      <c r="G228">
        <v>-10</v>
      </c>
      <c r="H228">
        <v>1.05</v>
      </c>
      <c r="I228">
        <v>0</v>
      </c>
      <c r="J228">
        <v>50</v>
      </c>
    </row>
    <row r="229" spans="1:10" x14ac:dyDescent="0.2">
      <c r="A229" s="3">
        <v>122</v>
      </c>
      <c r="B229" t="s">
        <v>227</v>
      </c>
      <c r="C229">
        <v>6</v>
      </c>
      <c r="D229">
        <v>50</v>
      </c>
      <c r="E229">
        <v>-4.96</v>
      </c>
      <c r="F229">
        <v>16</v>
      </c>
      <c r="G229">
        <v>-10</v>
      </c>
      <c r="H229">
        <v>1.05</v>
      </c>
      <c r="I229">
        <v>0</v>
      </c>
      <c r="J229">
        <v>50</v>
      </c>
    </row>
    <row r="230" spans="1:10" x14ac:dyDescent="0.2">
      <c r="A230" s="3">
        <v>123</v>
      </c>
      <c r="B230" t="s">
        <v>223</v>
      </c>
      <c r="C230">
        <v>1</v>
      </c>
      <c r="D230">
        <v>155</v>
      </c>
      <c r="E230">
        <v>31.79</v>
      </c>
      <c r="F230">
        <v>80</v>
      </c>
      <c r="G230">
        <v>-50</v>
      </c>
      <c r="H230">
        <v>1.05</v>
      </c>
      <c r="I230">
        <v>15.46</v>
      </c>
      <c r="J230">
        <v>155</v>
      </c>
    </row>
    <row r="231" spans="1:10" x14ac:dyDescent="0.2">
      <c r="A231" s="3">
        <v>123</v>
      </c>
      <c r="B231" t="s">
        <v>223</v>
      </c>
      <c r="C231">
        <v>2</v>
      </c>
      <c r="D231">
        <v>155</v>
      </c>
      <c r="E231">
        <v>31.79</v>
      </c>
      <c r="F231">
        <v>80</v>
      </c>
      <c r="G231">
        <v>-50</v>
      </c>
      <c r="H231">
        <v>1.05</v>
      </c>
      <c r="I231">
        <v>15.46</v>
      </c>
      <c r="J231">
        <v>155</v>
      </c>
    </row>
    <row r="232" spans="1:10" x14ac:dyDescent="0.2">
      <c r="A232" s="3">
        <v>123</v>
      </c>
      <c r="B232" t="s">
        <v>225</v>
      </c>
      <c r="C232">
        <v>3</v>
      </c>
      <c r="D232">
        <v>350</v>
      </c>
      <c r="E232">
        <v>71.78</v>
      </c>
      <c r="F232">
        <v>150</v>
      </c>
      <c r="G232">
        <v>-25</v>
      </c>
      <c r="H232">
        <v>1.05</v>
      </c>
      <c r="I232">
        <v>15.89</v>
      </c>
      <c r="J232">
        <v>350</v>
      </c>
    </row>
    <row r="233" spans="1:10" x14ac:dyDescent="0.2">
      <c r="A233" s="3">
        <v>201</v>
      </c>
      <c r="B233" t="s">
        <v>220</v>
      </c>
      <c r="C233">
        <v>1</v>
      </c>
      <c r="D233">
        <v>10</v>
      </c>
      <c r="E233">
        <v>0</v>
      </c>
      <c r="F233">
        <v>10</v>
      </c>
      <c r="G233">
        <v>0</v>
      </c>
      <c r="H233">
        <v>1.0349999999999999</v>
      </c>
      <c r="I233">
        <v>164.02</v>
      </c>
      <c r="J233">
        <v>20</v>
      </c>
    </row>
    <row r="234" spans="1:10" x14ac:dyDescent="0.2">
      <c r="A234" s="3">
        <v>201</v>
      </c>
      <c r="B234" t="s">
        <v>220</v>
      </c>
      <c r="C234">
        <v>2</v>
      </c>
      <c r="D234">
        <v>10</v>
      </c>
      <c r="E234">
        <v>0</v>
      </c>
      <c r="F234">
        <v>10</v>
      </c>
      <c r="G234">
        <v>0</v>
      </c>
      <c r="H234">
        <v>1.0349999999999999</v>
      </c>
      <c r="I234">
        <v>164.02</v>
      </c>
      <c r="J234">
        <v>20</v>
      </c>
    </row>
    <row r="235" spans="1:10" x14ac:dyDescent="0.2">
      <c r="A235" s="3">
        <v>201</v>
      </c>
      <c r="B235" t="s">
        <v>221</v>
      </c>
      <c r="C235">
        <v>3</v>
      </c>
      <c r="D235">
        <v>76</v>
      </c>
      <c r="E235">
        <v>14.1</v>
      </c>
      <c r="F235">
        <v>30</v>
      </c>
      <c r="G235">
        <v>-25</v>
      </c>
      <c r="H235">
        <v>1.0349999999999999</v>
      </c>
      <c r="I235">
        <v>19.64</v>
      </c>
      <c r="J235">
        <v>76</v>
      </c>
    </row>
    <row r="236" spans="1:10" x14ac:dyDescent="0.2">
      <c r="A236" s="3">
        <v>201</v>
      </c>
      <c r="B236" t="s">
        <v>221</v>
      </c>
      <c r="C236">
        <v>4</v>
      </c>
      <c r="D236">
        <v>76</v>
      </c>
      <c r="E236">
        <v>14.1</v>
      </c>
      <c r="F236">
        <v>30</v>
      </c>
      <c r="G236">
        <v>-25</v>
      </c>
      <c r="H236">
        <v>1.0349999999999999</v>
      </c>
      <c r="I236">
        <v>19.64</v>
      </c>
      <c r="J236">
        <v>76</v>
      </c>
    </row>
    <row r="237" spans="1:10" x14ac:dyDescent="0.2">
      <c r="A237" s="3">
        <v>202</v>
      </c>
      <c r="B237" t="s">
        <v>220</v>
      </c>
      <c r="C237">
        <v>1</v>
      </c>
      <c r="D237">
        <v>10</v>
      </c>
      <c r="E237">
        <v>0</v>
      </c>
      <c r="F237">
        <v>10</v>
      </c>
      <c r="G237">
        <v>0</v>
      </c>
      <c r="H237">
        <v>1.0349999999999999</v>
      </c>
      <c r="I237">
        <v>164.02</v>
      </c>
      <c r="J237">
        <v>20</v>
      </c>
    </row>
    <row r="238" spans="1:10" x14ac:dyDescent="0.2">
      <c r="A238" s="3">
        <v>202</v>
      </c>
      <c r="B238" t="s">
        <v>220</v>
      </c>
      <c r="C238">
        <v>2</v>
      </c>
      <c r="D238">
        <v>10</v>
      </c>
      <c r="E238">
        <v>0</v>
      </c>
      <c r="F238">
        <v>10</v>
      </c>
      <c r="G238">
        <v>0</v>
      </c>
      <c r="H238">
        <v>1.0349999999999999</v>
      </c>
      <c r="I238">
        <v>164.02</v>
      </c>
      <c r="J238">
        <v>20</v>
      </c>
    </row>
    <row r="239" spans="1:10" x14ac:dyDescent="0.2">
      <c r="A239" s="3">
        <v>202</v>
      </c>
      <c r="B239" t="s">
        <v>221</v>
      </c>
      <c r="C239">
        <v>3</v>
      </c>
      <c r="D239">
        <v>76</v>
      </c>
      <c r="E239">
        <v>7</v>
      </c>
      <c r="F239">
        <v>30</v>
      </c>
      <c r="G239">
        <v>-25</v>
      </c>
      <c r="H239">
        <v>1.0349999999999999</v>
      </c>
      <c r="I239">
        <v>19.64</v>
      </c>
      <c r="J239">
        <v>76</v>
      </c>
    </row>
    <row r="240" spans="1:10" x14ac:dyDescent="0.2">
      <c r="A240" s="3">
        <v>202</v>
      </c>
      <c r="B240" t="s">
        <v>221</v>
      </c>
      <c r="C240">
        <v>4</v>
      </c>
      <c r="D240">
        <v>76</v>
      </c>
      <c r="E240">
        <v>7</v>
      </c>
      <c r="F240">
        <v>30</v>
      </c>
      <c r="G240">
        <v>-25</v>
      </c>
      <c r="H240">
        <v>1.0349999999999999</v>
      </c>
      <c r="I240">
        <v>19.64</v>
      </c>
      <c r="J240">
        <v>76</v>
      </c>
    </row>
    <row r="241" spans="1:10" x14ac:dyDescent="0.2">
      <c r="A241" s="3">
        <v>207</v>
      </c>
      <c r="B241" t="s">
        <v>222</v>
      </c>
      <c r="C241">
        <v>1</v>
      </c>
      <c r="D241">
        <v>80</v>
      </c>
      <c r="E241">
        <v>17.2</v>
      </c>
      <c r="F241">
        <v>60</v>
      </c>
      <c r="G241">
        <v>0</v>
      </c>
      <c r="H241">
        <v>1.0249999999999999</v>
      </c>
      <c r="I241">
        <v>75.650000000000006</v>
      </c>
      <c r="J241">
        <v>100</v>
      </c>
    </row>
    <row r="242" spans="1:10" x14ac:dyDescent="0.2">
      <c r="A242" s="3">
        <v>207</v>
      </c>
      <c r="B242" t="s">
        <v>222</v>
      </c>
      <c r="C242">
        <v>2</v>
      </c>
      <c r="D242">
        <v>80</v>
      </c>
      <c r="E242">
        <v>17.2</v>
      </c>
      <c r="F242">
        <v>60</v>
      </c>
      <c r="G242">
        <v>0</v>
      </c>
      <c r="H242">
        <v>1.0249999999999999</v>
      </c>
      <c r="I242">
        <v>75.650000000000006</v>
      </c>
      <c r="J242">
        <v>100</v>
      </c>
    </row>
    <row r="243" spans="1:10" x14ac:dyDescent="0.2">
      <c r="A243" s="3">
        <v>207</v>
      </c>
      <c r="B243" t="s">
        <v>222</v>
      </c>
      <c r="C243">
        <v>3</v>
      </c>
      <c r="D243">
        <v>80</v>
      </c>
      <c r="E243">
        <v>17.2</v>
      </c>
      <c r="F243">
        <v>60</v>
      </c>
      <c r="G243">
        <v>0</v>
      </c>
      <c r="H243">
        <v>1.0249999999999999</v>
      </c>
      <c r="I243">
        <v>75.650000000000006</v>
      </c>
      <c r="J243">
        <v>100</v>
      </c>
    </row>
    <row r="244" spans="1:10" x14ac:dyDescent="0.2">
      <c r="A244" s="3">
        <v>213</v>
      </c>
      <c r="B244" t="s">
        <v>224</v>
      </c>
      <c r="C244">
        <v>1</v>
      </c>
      <c r="D244">
        <v>95.1</v>
      </c>
      <c r="E244">
        <v>40.700000000000003</v>
      </c>
      <c r="F244">
        <v>80</v>
      </c>
      <c r="G244">
        <v>0</v>
      </c>
      <c r="H244">
        <v>1.02</v>
      </c>
      <c r="I244">
        <v>74.75</v>
      </c>
      <c r="J244">
        <v>197</v>
      </c>
    </row>
    <row r="245" spans="1:10" x14ac:dyDescent="0.2">
      <c r="A245" s="3">
        <v>213</v>
      </c>
      <c r="B245" t="s">
        <v>224</v>
      </c>
      <c r="C245">
        <v>2</v>
      </c>
      <c r="D245">
        <v>95.1</v>
      </c>
      <c r="E245">
        <v>40.700000000000003</v>
      </c>
      <c r="F245">
        <v>80</v>
      </c>
      <c r="G245">
        <v>0</v>
      </c>
      <c r="H245">
        <v>1.02</v>
      </c>
      <c r="I245">
        <v>74.75</v>
      </c>
      <c r="J245">
        <v>197</v>
      </c>
    </row>
    <row r="246" spans="1:10" x14ac:dyDescent="0.2">
      <c r="A246" s="3">
        <v>213</v>
      </c>
      <c r="B246" t="s">
        <v>224</v>
      </c>
      <c r="C246">
        <v>3</v>
      </c>
      <c r="D246">
        <v>95.1</v>
      </c>
      <c r="E246">
        <v>40.700000000000003</v>
      </c>
      <c r="F246">
        <v>80</v>
      </c>
      <c r="G246">
        <v>0</v>
      </c>
      <c r="H246">
        <v>1.02</v>
      </c>
      <c r="I246">
        <v>74.75</v>
      </c>
      <c r="J246">
        <v>197</v>
      </c>
    </row>
    <row r="247" spans="1:10" x14ac:dyDescent="0.2">
      <c r="A247" s="3">
        <v>214</v>
      </c>
      <c r="B247" t="s">
        <v>228</v>
      </c>
      <c r="C247">
        <v>1</v>
      </c>
      <c r="D247">
        <v>0</v>
      </c>
      <c r="E247">
        <v>13.68</v>
      </c>
      <c r="F247">
        <v>200</v>
      </c>
      <c r="G247">
        <v>-50</v>
      </c>
      <c r="H247">
        <v>0.98</v>
      </c>
      <c r="I247">
        <v>0</v>
      </c>
      <c r="J247">
        <v>-1</v>
      </c>
    </row>
    <row r="248" spans="1:10" x14ac:dyDescent="0.2">
      <c r="A248" s="3">
        <v>215</v>
      </c>
      <c r="B248" t="s">
        <v>219</v>
      </c>
      <c r="C248">
        <v>1</v>
      </c>
      <c r="D248">
        <v>12</v>
      </c>
      <c r="E248">
        <v>0</v>
      </c>
      <c r="F248">
        <v>6</v>
      </c>
      <c r="G248">
        <v>0</v>
      </c>
      <c r="H248">
        <v>1.014</v>
      </c>
      <c r="I248">
        <v>94.74</v>
      </c>
      <c r="J248">
        <v>12</v>
      </c>
    </row>
    <row r="249" spans="1:10" x14ac:dyDescent="0.2">
      <c r="A249" s="3">
        <v>215</v>
      </c>
      <c r="B249" t="s">
        <v>219</v>
      </c>
      <c r="C249">
        <v>2</v>
      </c>
      <c r="D249">
        <v>12</v>
      </c>
      <c r="E249">
        <v>0</v>
      </c>
      <c r="F249">
        <v>6</v>
      </c>
      <c r="G249">
        <v>0</v>
      </c>
      <c r="H249">
        <v>1.014</v>
      </c>
      <c r="I249">
        <v>94.74</v>
      </c>
      <c r="J249">
        <v>12</v>
      </c>
    </row>
    <row r="250" spans="1:10" x14ac:dyDescent="0.2">
      <c r="A250" s="3">
        <v>215</v>
      </c>
      <c r="B250" t="s">
        <v>219</v>
      </c>
      <c r="C250">
        <v>3</v>
      </c>
      <c r="D250">
        <v>12</v>
      </c>
      <c r="E250">
        <v>0</v>
      </c>
      <c r="F250">
        <v>6</v>
      </c>
      <c r="G250">
        <v>0</v>
      </c>
      <c r="H250">
        <v>1.014</v>
      </c>
      <c r="I250">
        <v>94.74</v>
      </c>
      <c r="J250">
        <v>12</v>
      </c>
    </row>
    <row r="251" spans="1:10" x14ac:dyDescent="0.2">
      <c r="A251" s="3">
        <v>215</v>
      </c>
      <c r="B251" t="s">
        <v>219</v>
      </c>
      <c r="C251">
        <v>4</v>
      </c>
      <c r="D251">
        <v>12</v>
      </c>
      <c r="E251">
        <v>0</v>
      </c>
      <c r="F251">
        <v>6</v>
      </c>
      <c r="G251">
        <v>0</v>
      </c>
      <c r="H251">
        <v>1.014</v>
      </c>
      <c r="I251">
        <v>94.74</v>
      </c>
      <c r="J251">
        <v>12</v>
      </c>
    </row>
    <row r="252" spans="1:10" x14ac:dyDescent="0.2">
      <c r="A252" s="3">
        <v>215</v>
      </c>
      <c r="B252" t="s">
        <v>219</v>
      </c>
      <c r="C252">
        <v>5</v>
      </c>
      <c r="D252">
        <v>12</v>
      </c>
      <c r="E252">
        <v>0</v>
      </c>
      <c r="F252">
        <v>6</v>
      </c>
      <c r="G252">
        <v>0</v>
      </c>
      <c r="H252">
        <v>1.014</v>
      </c>
      <c r="I252">
        <v>94.74</v>
      </c>
      <c r="J252">
        <v>12</v>
      </c>
    </row>
    <row r="253" spans="1:10" x14ac:dyDescent="0.2">
      <c r="A253" s="3">
        <v>215</v>
      </c>
      <c r="B253" t="s">
        <v>223</v>
      </c>
      <c r="C253">
        <v>6</v>
      </c>
      <c r="D253">
        <v>155</v>
      </c>
      <c r="E253">
        <v>4.8000000000000001E-2</v>
      </c>
      <c r="F253">
        <v>80</v>
      </c>
      <c r="G253">
        <v>-50</v>
      </c>
      <c r="H253">
        <v>1.014</v>
      </c>
      <c r="I253">
        <v>15.46</v>
      </c>
      <c r="J253">
        <v>155</v>
      </c>
    </row>
    <row r="254" spans="1:10" x14ac:dyDescent="0.2">
      <c r="A254" s="3">
        <v>216</v>
      </c>
      <c r="B254" t="s">
        <v>223</v>
      </c>
      <c r="C254">
        <v>1</v>
      </c>
      <c r="D254">
        <v>155</v>
      </c>
      <c r="E254">
        <v>25.22</v>
      </c>
      <c r="F254">
        <v>80</v>
      </c>
      <c r="G254">
        <v>-50</v>
      </c>
      <c r="H254">
        <v>1.0169999999999999</v>
      </c>
      <c r="I254">
        <v>15.46</v>
      </c>
      <c r="J254">
        <v>155</v>
      </c>
    </row>
    <row r="255" spans="1:10" x14ac:dyDescent="0.2">
      <c r="A255" s="3">
        <v>218</v>
      </c>
      <c r="B255" t="s">
        <v>226</v>
      </c>
      <c r="C255">
        <v>1</v>
      </c>
      <c r="D255">
        <v>400</v>
      </c>
      <c r="E255">
        <v>137.4</v>
      </c>
      <c r="F255">
        <v>200</v>
      </c>
      <c r="G255">
        <v>-50</v>
      </c>
      <c r="H255">
        <v>1.05</v>
      </c>
      <c r="I255">
        <v>5.46</v>
      </c>
      <c r="J255">
        <v>400</v>
      </c>
    </row>
    <row r="256" spans="1:10" x14ac:dyDescent="0.2">
      <c r="A256" s="3">
        <v>221</v>
      </c>
      <c r="B256" t="s">
        <v>226</v>
      </c>
      <c r="C256">
        <v>1</v>
      </c>
      <c r="D256">
        <v>400</v>
      </c>
      <c r="E256">
        <v>108.2</v>
      </c>
      <c r="F256">
        <v>200</v>
      </c>
      <c r="G256">
        <v>-50</v>
      </c>
      <c r="H256">
        <v>1.05</v>
      </c>
      <c r="I256">
        <v>5.46</v>
      </c>
      <c r="J256">
        <v>400</v>
      </c>
    </row>
    <row r="257" spans="1:10" x14ac:dyDescent="0.2">
      <c r="A257" s="3">
        <v>222</v>
      </c>
      <c r="B257" t="s">
        <v>227</v>
      </c>
      <c r="C257">
        <v>1</v>
      </c>
      <c r="D257">
        <v>50</v>
      </c>
      <c r="E257">
        <v>-4.96</v>
      </c>
      <c r="F257">
        <v>16</v>
      </c>
      <c r="G257">
        <v>-10</v>
      </c>
      <c r="H257">
        <v>1.05</v>
      </c>
      <c r="I257">
        <v>0</v>
      </c>
      <c r="J257">
        <v>50</v>
      </c>
    </row>
    <row r="258" spans="1:10" x14ac:dyDescent="0.2">
      <c r="A258" s="3">
        <v>222</v>
      </c>
      <c r="B258" t="s">
        <v>227</v>
      </c>
      <c r="C258">
        <v>2</v>
      </c>
      <c r="D258">
        <v>50</v>
      </c>
      <c r="E258">
        <v>-4.96</v>
      </c>
      <c r="F258">
        <v>16</v>
      </c>
      <c r="G258">
        <v>-10</v>
      </c>
      <c r="H258">
        <v>1.05</v>
      </c>
      <c r="I258">
        <v>0</v>
      </c>
      <c r="J258">
        <v>50</v>
      </c>
    </row>
    <row r="259" spans="1:10" x14ac:dyDescent="0.2">
      <c r="A259" s="3">
        <v>222</v>
      </c>
      <c r="B259" t="s">
        <v>227</v>
      </c>
      <c r="C259">
        <v>3</v>
      </c>
      <c r="D259">
        <v>50</v>
      </c>
      <c r="E259">
        <v>-4.96</v>
      </c>
      <c r="F259">
        <v>16</v>
      </c>
      <c r="G259">
        <v>-10</v>
      </c>
      <c r="H259">
        <v>1.05</v>
      </c>
      <c r="I259">
        <v>0</v>
      </c>
      <c r="J259">
        <v>50</v>
      </c>
    </row>
    <row r="260" spans="1:10" x14ac:dyDescent="0.2">
      <c r="A260" s="3">
        <v>222</v>
      </c>
      <c r="B260" t="s">
        <v>227</v>
      </c>
      <c r="C260">
        <v>4</v>
      </c>
      <c r="D260">
        <v>50</v>
      </c>
      <c r="E260">
        <v>-4.96</v>
      </c>
      <c r="F260">
        <v>16</v>
      </c>
      <c r="G260">
        <v>-10</v>
      </c>
      <c r="H260">
        <v>1.05</v>
      </c>
      <c r="I260">
        <v>0</v>
      </c>
      <c r="J260">
        <v>50</v>
      </c>
    </row>
    <row r="261" spans="1:10" x14ac:dyDescent="0.2">
      <c r="A261" s="3">
        <v>222</v>
      </c>
      <c r="B261" t="s">
        <v>227</v>
      </c>
      <c r="C261">
        <v>5</v>
      </c>
      <c r="D261">
        <v>50</v>
      </c>
      <c r="E261">
        <v>-4.96</v>
      </c>
      <c r="F261">
        <v>16</v>
      </c>
      <c r="G261">
        <v>-10</v>
      </c>
      <c r="H261">
        <v>1.05</v>
      </c>
      <c r="I261">
        <v>0</v>
      </c>
      <c r="J261">
        <v>50</v>
      </c>
    </row>
    <row r="262" spans="1:10" x14ac:dyDescent="0.2">
      <c r="A262" s="3">
        <v>222</v>
      </c>
      <c r="B262" t="s">
        <v>227</v>
      </c>
      <c r="C262">
        <v>6</v>
      </c>
      <c r="D262">
        <v>50</v>
      </c>
      <c r="E262">
        <v>-4.96</v>
      </c>
      <c r="F262">
        <v>16</v>
      </c>
      <c r="G262">
        <v>-10</v>
      </c>
      <c r="H262">
        <v>1.05</v>
      </c>
      <c r="I262">
        <v>0</v>
      </c>
      <c r="J262">
        <v>50</v>
      </c>
    </row>
    <row r="263" spans="1:10" x14ac:dyDescent="0.2">
      <c r="A263" s="3">
        <v>223</v>
      </c>
      <c r="B263" t="s">
        <v>223</v>
      </c>
      <c r="C263">
        <v>1</v>
      </c>
      <c r="D263">
        <v>155</v>
      </c>
      <c r="E263">
        <v>31.79</v>
      </c>
      <c r="F263">
        <v>80</v>
      </c>
      <c r="G263">
        <v>-50</v>
      </c>
      <c r="H263">
        <v>1.05</v>
      </c>
      <c r="I263">
        <v>15.46</v>
      </c>
      <c r="J263">
        <v>155</v>
      </c>
    </row>
    <row r="264" spans="1:10" x14ac:dyDescent="0.2">
      <c r="A264" s="3">
        <v>223</v>
      </c>
      <c r="B264" t="s">
        <v>223</v>
      </c>
      <c r="C264">
        <v>2</v>
      </c>
      <c r="D264">
        <v>155</v>
      </c>
      <c r="E264">
        <v>31.79</v>
      </c>
      <c r="F264">
        <v>80</v>
      </c>
      <c r="G264">
        <v>-50</v>
      </c>
      <c r="H264">
        <v>1.05</v>
      </c>
      <c r="I264">
        <v>15.46</v>
      </c>
      <c r="J264">
        <v>155</v>
      </c>
    </row>
    <row r="265" spans="1:10" x14ac:dyDescent="0.2">
      <c r="A265" s="3">
        <v>223</v>
      </c>
      <c r="B265" t="s">
        <v>225</v>
      </c>
      <c r="C265">
        <v>3</v>
      </c>
      <c r="D265">
        <v>350</v>
      </c>
      <c r="E265">
        <v>71.78</v>
      </c>
      <c r="F265">
        <v>150</v>
      </c>
      <c r="G265">
        <v>-25</v>
      </c>
      <c r="H265">
        <v>1.05</v>
      </c>
      <c r="I265">
        <v>15.89</v>
      </c>
      <c r="J265">
        <v>350</v>
      </c>
    </row>
    <row r="266" spans="1:10" x14ac:dyDescent="0.2">
      <c r="A266" s="3">
        <v>301</v>
      </c>
      <c r="B266" t="s">
        <v>220</v>
      </c>
      <c r="C266">
        <v>1</v>
      </c>
      <c r="D266">
        <v>10</v>
      </c>
      <c r="E266">
        <v>0</v>
      </c>
      <c r="F266">
        <v>10</v>
      </c>
      <c r="G266">
        <v>0</v>
      </c>
      <c r="H266">
        <v>1.0349999999999999</v>
      </c>
      <c r="I266">
        <v>164.02</v>
      </c>
      <c r="J266">
        <v>20</v>
      </c>
    </row>
    <row r="267" spans="1:10" x14ac:dyDescent="0.2">
      <c r="A267" s="3">
        <v>301</v>
      </c>
      <c r="B267" t="s">
        <v>220</v>
      </c>
      <c r="C267">
        <v>2</v>
      </c>
      <c r="D267">
        <v>10</v>
      </c>
      <c r="E267">
        <v>0</v>
      </c>
      <c r="F267">
        <v>10</v>
      </c>
      <c r="G267">
        <v>0</v>
      </c>
      <c r="H267">
        <v>1.0349999999999999</v>
      </c>
      <c r="I267">
        <v>164.02</v>
      </c>
      <c r="J267">
        <v>20</v>
      </c>
    </row>
    <row r="268" spans="1:10" x14ac:dyDescent="0.2">
      <c r="A268" s="3">
        <v>301</v>
      </c>
      <c r="B268" t="s">
        <v>221</v>
      </c>
      <c r="C268">
        <v>3</v>
      </c>
      <c r="D268">
        <v>76</v>
      </c>
      <c r="E268">
        <v>14.1</v>
      </c>
      <c r="F268">
        <v>30</v>
      </c>
      <c r="G268">
        <v>-25</v>
      </c>
      <c r="H268">
        <v>1.0349999999999999</v>
      </c>
      <c r="I268">
        <v>19.64</v>
      </c>
      <c r="J268">
        <v>76</v>
      </c>
    </row>
    <row r="269" spans="1:10" x14ac:dyDescent="0.2">
      <c r="A269" s="3">
        <v>301</v>
      </c>
      <c r="B269" t="s">
        <v>221</v>
      </c>
      <c r="C269">
        <v>4</v>
      </c>
      <c r="D269">
        <v>76</v>
      </c>
      <c r="E269">
        <v>14.1</v>
      </c>
      <c r="F269">
        <v>30</v>
      </c>
      <c r="G269">
        <v>-25</v>
      </c>
      <c r="H269">
        <v>1.0349999999999999</v>
      </c>
      <c r="I269">
        <v>19.64</v>
      </c>
      <c r="J269">
        <v>76</v>
      </c>
    </row>
    <row r="270" spans="1:10" x14ac:dyDescent="0.2">
      <c r="A270" s="3">
        <v>302</v>
      </c>
      <c r="B270" t="s">
        <v>220</v>
      </c>
      <c r="C270">
        <v>1</v>
      </c>
      <c r="D270">
        <v>10</v>
      </c>
      <c r="E270">
        <v>0</v>
      </c>
      <c r="F270">
        <v>10</v>
      </c>
      <c r="G270">
        <v>0</v>
      </c>
      <c r="H270">
        <v>1.0349999999999999</v>
      </c>
      <c r="I270">
        <v>164.02</v>
      </c>
      <c r="J270">
        <v>20</v>
      </c>
    </row>
    <row r="271" spans="1:10" x14ac:dyDescent="0.2">
      <c r="A271" s="3">
        <v>302</v>
      </c>
      <c r="B271" t="s">
        <v>220</v>
      </c>
      <c r="C271">
        <v>2</v>
      </c>
      <c r="D271">
        <v>10</v>
      </c>
      <c r="E271">
        <v>0</v>
      </c>
      <c r="F271">
        <v>10</v>
      </c>
      <c r="G271">
        <v>0</v>
      </c>
      <c r="H271">
        <v>1.0349999999999999</v>
      </c>
      <c r="I271">
        <v>164.02</v>
      </c>
      <c r="J271">
        <v>20</v>
      </c>
    </row>
    <row r="272" spans="1:10" x14ac:dyDescent="0.2">
      <c r="A272" s="3">
        <v>302</v>
      </c>
      <c r="B272" t="s">
        <v>221</v>
      </c>
      <c r="C272">
        <v>3</v>
      </c>
      <c r="D272">
        <v>76</v>
      </c>
      <c r="E272">
        <v>7</v>
      </c>
      <c r="F272">
        <v>30</v>
      </c>
      <c r="G272">
        <v>-25</v>
      </c>
      <c r="H272">
        <v>1.0349999999999999</v>
      </c>
      <c r="I272">
        <v>19.64</v>
      </c>
      <c r="J272">
        <v>76</v>
      </c>
    </row>
    <row r="273" spans="1:10" x14ac:dyDescent="0.2">
      <c r="A273" s="3">
        <v>302</v>
      </c>
      <c r="B273" t="s">
        <v>221</v>
      </c>
      <c r="C273">
        <v>4</v>
      </c>
      <c r="D273">
        <v>76</v>
      </c>
      <c r="E273">
        <v>7</v>
      </c>
      <c r="F273">
        <v>30</v>
      </c>
      <c r="G273">
        <v>-25</v>
      </c>
      <c r="H273">
        <v>1.0349999999999999</v>
      </c>
      <c r="I273">
        <v>19.64</v>
      </c>
      <c r="J273">
        <v>76</v>
      </c>
    </row>
    <row r="274" spans="1:10" x14ac:dyDescent="0.2">
      <c r="A274" s="3">
        <v>307</v>
      </c>
      <c r="B274" t="s">
        <v>222</v>
      </c>
      <c r="C274">
        <v>1</v>
      </c>
      <c r="D274">
        <v>80</v>
      </c>
      <c r="E274">
        <v>17.2</v>
      </c>
      <c r="F274">
        <v>60</v>
      </c>
      <c r="G274">
        <v>0</v>
      </c>
      <c r="H274">
        <v>1.0249999999999999</v>
      </c>
      <c r="I274">
        <v>75.650000000000006</v>
      </c>
      <c r="J274">
        <v>100</v>
      </c>
    </row>
    <row r="275" spans="1:10" x14ac:dyDescent="0.2">
      <c r="A275" s="3">
        <v>307</v>
      </c>
      <c r="B275" t="s">
        <v>222</v>
      </c>
      <c r="C275">
        <v>2</v>
      </c>
      <c r="D275">
        <v>80</v>
      </c>
      <c r="E275">
        <v>17.2</v>
      </c>
      <c r="F275">
        <v>60</v>
      </c>
      <c r="G275">
        <v>0</v>
      </c>
      <c r="H275">
        <v>1.0249999999999999</v>
      </c>
      <c r="I275">
        <v>75.650000000000006</v>
      </c>
      <c r="J275">
        <v>100</v>
      </c>
    </row>
    <row r="276" spans="1:10" x14ac:dyDescent="0.2">
      <c r="A276" s="3">
        <v>307</v>
      </c>
      <c r="B276" t="s">
        <v>222</v>
      </c>
      <c r="C276">
        <v>3</v>
      </c>
      <c r="D276">
        <v>80</v>
      </c>
      <c r="E276">
        <v>17.2</v>
      </c>
      <c r="F276">
        <v>60</v>
      </c>
      <c r="G276">
        <v>0</v>
      </c>
      <c r="H276">
        <v>1.0249999999999999</v>
      </c>
      <c r="I276">
        <v>75.650000000000006</v>
      </c>
      <c r="J276">
        <v>100</v>
      </c>
    </row>
    <row r="277" spans="1:10" x14ac:dyDescent="0.2">
      <c r="A277" s="3">
        <v>313</v>
      </c>
      <c r="B277" t="s">
        <v>224</v>
      </c>
      <c r="C277">
        <v>1</v>
      </c>
      <c r="D277">
        <v>95.1</v>
      </c>
      <c r="E277">
        <v>40.700000000000003</v>
      </c>
      <c r="F277">
        <v>80</v>
      </c>
      <c r="G277">
        <v>0</v>
      </c>
      <c r="H277">
        <v>1.02</v>
      </c>
      <c r="I277">
        <v>74.75</v>
      </c>
      <c r="J277">
        <v>197</v>
      </c>
    </row>
    <row r="278" spans="1:10" x14ac:dyDescent="0.2">
      <c r="A278" s="3">
        <v>313</v>
      </c>
      <c r="B278" t="s">
        <v>224</v>
      </c>
      <c r="C278">
        <v>2</v>
      </c>
      <c r="D278">
        <v>95.1</v>
      </c>
      <c r="E278">
        <v>40.700000000000003</v>
      </c>
      <c r="F278">
        <v>80</v>
      </c>
      <c r="G278">
        <v>0</v>
      </c>
      <c r="H278">
        <v>1.02</v>
      </c>
      <c r="I278">
        <v>74.75</v>
      </c>
      <c r="J278">
        <v>197</v>
      </c>
    </row>
    <row r="279" spans="1:10" x14ac:dyDescent="0.2">
      <c r="A279" s="3">
        <v>313</v>
      </c>
      <c r="B279" t="s">
        <v>224</v>
      </c>
      <c r="C279">
        <v>3</v>
      </c>
      <c r="D279">
        <v>95.1</v>
      </c>
      <c r="E279">
        <v>40.700000000000003</v>
      </c>
      <c r="F279">
        <v>80</v>
      </c>
      <c r="G279">
        <v>0</v>
      </c>
      <c r="H279">
        <v>1.02</v>
      </c>
      <c r="I279">
        <v>74.75</v>
      </c>
      <c r="J279">
        <v>197</v>
      </c>
    </row>
    <row r="280" spans="1:10" x14ac:dyDescent="0.2">
      <c r="A280" s="3">
        <v>314</v>
      </c>
      <c r="B280" t="s">
        <v>228</v>
      </c>
      <c r="C280">
        <v>1</v>
      </c>
      <c r="D280">
        <v>0</v>
      </c>
      <c r="E280">
        <v>13.68</v>
      </c>
      <c r="F280">
        <v>200</v>
      </c>
      <c r="G280">
        <v>-50</v>
      </c>
      <c r="H280">
        <v>0.98</v>
      </c>
      <c r="I280">
        <v>0</v>
      </c>
      <c r="J280">
        <v>-1</v>
      </c>
    </row>
    <row r="281" spans="1:10" x14ac:dyDescent="0.2">
      <c r="A281" s="3">
        <v>315</v>
      </c>
      <c r="B281" t="s">
        <v>219</v>
      </c>
      <c r="C281">
        <v>1</v>
      </c>
      <c r="D281">
        <v>12</v>
      </c>
      <c r="E281">
        <v>0</v>
      </c>
      <c r="F281">
        <v>6</v>
      </c>
      <c r="G281">
        <v>0</v>
      </c>
      <c r="H281">
        <v>1.014</v>
      </c>
      <c r="I281">
        <v>94.74</v>
      </c>
      <c r="J281">
        <v>12</v>
      </c>
    </row>
    <row r="282" spans="1:10" x14ac:dyDescent="0.2">
      <c r="A282" s="3">
        <v>315</v>
      </c>
      <c r="B282" t="s">
        <v>219</v>
      </c>
      <c r="C282">
        <v>2</v>
      </c>
      <c r="D282">
        <v>12</v>
      </c>
      <c r="E282">
        <v>0</v>
      </c>
      <c r="F282">
        <v>6</v>
      </c>
      <c r="G282">
        <v>0</v>
      </c>
      <c r="H282">
        <v>1.014</v>
      </c>
      <c r="I282">
        <v>94.74</v>
      </c>
      <c r="J282">
        <v>12</v>
      </c>
    </row>
    <row r="283" spans="1:10" x14ac:dyDescent="0.2">
      <c r="A283" s="3">
        <v>315</v>
      </c>
      <c r="B283" t="s">
        <v>219</v>
      </c>
      <c r="C283">
        <v>3</v>
      </c>
      <c r="D283">
        <v>12</v>
      </c>
      <c r="E283">
        <v>0</v>
      </c>
      <c r="F283">
        <v>6</v>
      </c>
      <c r="G283">
        <v>0</v>
      </c>
      <c r="H283">
        <v>1.014</v>
      </c>
      <c r="I283">
        <v>94.74</v>
      </c>
      <c r="J283">
        <v>12</v>
      </c>
    </row>
    <row r="284" spans="1:10" x14ac:dyDescent="0.2">
      <c r="A284" s="3">
        <v>315</v>
      </c>
      <c r="B284" t="s">
        <v>219</v>
      </c>
      <c r="C284">
        <v>4</v>
      </c>
      <c r="D284">
        <v>12</v>
      </c>
      <c r="E284">
        <v>0</v>
      </c>
      <c r="F284">
        <v>6</v>
      </c>
      <c r="G284">
        <v>0</v>
      </c>
      <c r="H284">
        <v>1.014</v>
      </c>
      <c r="I284">
        <v>94.74</v>
      </c>
      <c r="J284">
        <v>12</v>
      </c>
    </row>
    <row r="285" spans="1:10" x14ac:dyDescent="0.2">
      <c r="A285" s="3">
        <v>315</v>
      </c>
      <c r="B285" t="s">
        <v>219</v>
      </c>
      <c r="C285">
        <v>5</v>
      </c>
      <c r="D285">
        <v>12</v>
      </c>
      <c r="E285">
        <v>0</v>
      </c>
      <c r="F285">
        <v>6</v>
      </c>
      <c r="G285">
        <v>0</v>
      </c>
      <c r="H285">
        <v>1.014</v>
      </c>
      <c r="I285">
        <v>94.74</v>
      </c>
      <c r="J285">
        <v>12</v>
      </c>
    </row>
    <row r="286" spans="1:10" x14ac:dyDescent="0.2">
      <c r="A286" s="3">
        <v>315</v>
      </c>
      <c r="B286" t="s">
        <v>223</v>
      </c>
      <c r="C286">
        <v>6</v>
      </c>
      <c r="D286">
        <v>155</v>
      </c>
      <c r="E286">
        <v>4.8000000000000001E-2</v>
      </c>
      <c r="F286">
        <v>80</v>
      </c>
      <c r="G286">
        <v>-50</v>
      </c>
      <c r="H286">
        <v>1.014</v>
      </c>
      <c r="I286">
        <v>15.46</v>
      </c>
      <c r="J286">
        <v>155</v>
      </c>
    </row>
    <row r="287" spans="1:10" x14ac:dyDescent="0.2">
      <c r="A287" s="3">
        <v>316</v>
      </c>
      <c r="B287" t="s">
        <v>223</v>
      </c>
      <c r="C287">
        <v>1</v>
      </c>
      <c r="D287">
        <v>155</v>
      </c>
      <c r="E287">
        <v>25.22</v>
      </c>
      <c r="F287">
        <v>80</v>
      </c>
      <c r="G287">
        <v>-50</v>
      </c>
      <c r="H287">
        <v>1.0169999999999999</v>
      </c>
      <c r="I287">
        <v>15.46</v>
      </c>
      <c r="J287">
        <v>155</v>
      </c>
    </row>
    <row r="288" spans="1:10" x14ac:dyDescent="0.2">
      <c r="A288" s="3">
        <v>318</v>
      </c>
      <c r="B288" t="s">
        <v>226</v>
      </c>
      <c r="C288">
        <v>1</v>
      </c>
      <c r="D288">
        <v>400</v>
      </c>
      <c r="E288">
        <v>137.4</v>
      </c>
      <c r="F288">
        <v>200</v>
      </c>
      <c r="G288">
        <v>-50</v>
      </c>
      <c r="H288">
        <v>1.05</v>
      </c>
      <c r="I288">
        <v>5.46</v>
      </c>
      <c r="J288">
        <v>400</v>
      </c>
    </row>
    <row r="289" spans="1:10" x14ac:dyDescent="0.2">
      <c r="A289" s="3">
        <v>321</v>
      </c>
      <c r="B289" t="s">
        <v>226</v>
      </c>
      <c r="C289">
        <v>1</v>
      </c>
      <c r="D289">
        <v>400</v>
      </c>
      <c r="E289">
        <v>108.2</v>
      </c>
      <c r="F289">
        <v>200</v>
      </c>
      <c r="G289">
        <v>-50</v>
      </c>
      <c r="H289">
        <v>1.05</v>
      </c>
      <c r="I289">
        <v>5.46</v>
      </c>
      <c r="J289">
        <v>400</v>
      </c>
    </row>
    <row r="290" spans="1:10" x14ac:dyDescent="0.2">
      <c r="A290" s="3">
        <v>322</v>
      </c>
      <c r="B290" t="s">
        <v>227</v>
      </c>
      <c r="C290">
        <v>1</v>
      </c>
      <c r="D290">
        <v>50</v>
      </c>
      <c r="E290">
        <v>-4.96</v>
      </c>
      <c r="F290">
        <v>16</v>
      </c>
      <c r="G290">
        <v>-10</v>
      </c>
      <c r="H290">
        <v>1.05</v>
      </c>
      <c r="I290">
        <v>0</v>
      </c>
      <c r="J290">
        <v>50</v>
      </c>
    </row>
    <row r="291" spans="1:10" x14ac:dyDescent="0.2">
      <c r="A291" s="3">
        <v>322</v>
      </c>
      <c r="B291" t="s">
        <v>227</v>
      </c>
      <c r="C291">
        <v>2</v>
      </c>
      <c r="D291">
        <v>50</v>
      </c>
      <c r="E291">
        <v>-4.96</v>
      </c>
      <c r="F291">
        <v>16</v>
      </c>
      <c r="G291">
        <v>-10</v>
      </c>
      <c r="H291">
        <v>1.05</v>
      </c>
      <c r="I291">
        <v>0</v>
      </c>
      <c r="J291">
        <v>50</v>
      </c>
    </row>
    <row r="292" spans="1:10" x14ac:dyDescent="0.2">
      <c r="A292" s="3">
        <v>322</v>
      </c>
      <c r="B292" t="s">
        <v>227</v>
      </c>
      <c r="C292">
        <v>3</v>
      </c>
      <c r="D292">
        <v>50</v>
      </c>
      <c r="E292">
        <v>-4.96</v>
      </c>
      <c r="F292">
        <v>16</v>
      </c>
      <c r="G292">
        <v>-10</v>
      </c>
      <c r="H292">
        <v>1.05</v>
      </c>
      <c r="I292">
        <v>0</v>
      </c>
      <c r="J292">
        <v>50</v>
      </c>
    </row>
    <row r="293" spans="1:10" x14ac:dyDescent="0.2">
      <c r="A293" s="3">
        <v>322</v>
      </c>
      <c r="B293" t="s">
        <v>227</v>
      </c>
      <c r="C293">
        <v>4</v>
      </c>
      <c r="D293">
        <v>50</v>
      </c>
      <c r="E293">
        <v>-4.96</v>
      </c>
      <c r="F293">
        <v>16</v>
      </c>
      <c r="G293">
        <v>-10</v>
      </c>
      <c r="H293">
        <v>1.05</v>
      </c>
      <c r="I293">
        <v>0</v>
      </c>
      <c r="J293">
        <v>50</v>
      </c>
    </row>
    <row r="294" spans="1:10" x14ac:dyDescent="0.2">
      <c r="A294" s="3">
        <v>322</v>
      </c>
      <c r="B294" t="s">
        <v>227</v>
      </c>
      <c r="C294">
        <v>5</v>
      </c>
      <c r="D294">
        <v>50</v>
      </c>
      <c r="E294">
        <v>-4.96</v>
      </c>
      <c r="F294">
        <v>16</v>
      </c>
      <c r="G294">
        <v>-10</v>
      </c>
      <c r="H294">
        <v>1.05</v>
      </c>
      <c r="I294">
        <v>0</v>
      </c>
      <c r="J294">
        <v>50</v>
      </c>
    </row>
    <row r="295" spans="1:10" x14ac:dyDescent="0.2">
      <c r="A295" s="3">
        <v>322</v>
      </c>
      <c r="B295" t="s">
        <v>227</v>
      </c>
      <c r="C295">
        <v>6</v>
      </c>
      <c r="D295">
        <v>50</v>
      </c>
      <c r="E295">
        <v>-4.96</v>
      </c>
      <c r="F295">
        <v>16</v>
      </c>
      <c r="G295">
        <v>-10</v>
      </c>
      <c r="H295">
        <v>1.05</v>
      </c>
      <c r="I295">
        <v>0</v>
      </c>
      <c r="J295">
        <v>50</v>
      </c>
    </row>
    <row r="296" spans="1:10" x14ac:dyDescent="0.2">
      <c r="A296" s="3">
        <v>323</v>
      </c>
      <c r="B296" t="s">
        <v>223</v>
      </c>
      <c r="C296">
        <v>1</v>
      </c>
      <c r="D296">
        <v>155</v>
      </c>
      <c r="E296">
        <v>31.79</v>
      </c>
      <c r="F296">
        <v>80</v>
      </c>
      <c r="G296">
        <v>-50</v>
      </c>
      <c r="H296">
        <v>1.05</v>
      </c>
      <c r="I296">
        <v>15.46</v>
      </c>
      <c r="J296">
        <v>155</v>
      </c>
    </row>
    <row r="297" spans="1:10" x14ac:dyDescent="0.2">
      <c r="A297" s="3">
        <v>323</v>
      </c>
      <c r="B297" t="s">
        <v>223</v>
      </c>
      <c r="C297">
        <v>2</v>
      </c>
      <c r="D297">
        <v>155</v>
      </c>
      <c r="E297">
        <v>31.79</v>
      </c>
      <c r="F297">
        <v>80</v>
      </c>
      <c r="G297">
        <v>-50</v>
      </c>
      <c r="H297">
        <v>1.05</v>
      </c>
      <c r="I297">
        <v>15.46</v>
      </c>
      <c r="J297">
        <v>155</v>
      </c>
    </row>
    <row r="298" spans="1:10" x14ac:dyDescent="0.2">
      <c r="A298" s="3">
        <v>323</v>
      </c>
      <c r="B298" t="s">
        <v>225</v>
      </c>
      <c r="C298">
        <v>3</v>
      </c>
      <c r="D298">
        <v>350</v>
      </c>
      <c r="E298">
        <v>71.78</v>
      </c>
      <c r="F298">
        <v>150</v>
      </c>
      <c r="G298">
        <v>-25</v>
      </c>
      <c r="H298">
        <v>1.05</v>
      </c>
      <c r="I298">
        <v>15.89</v>
      </c>
      <c r="J298">
        <v>350</v>
      </c>
    </row>
  </sheetData>
  <autoFilter ref="A1:J298" xr:uid="{7424C651-1709-420D-8E13-66C4B26632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branch</vt:lpstr>
      <vt:lpstr>new_branch</vt:lpstr>
      <vt:lpstr>bus</vt:lpstr>
      <vt:lpstr>gen</vt:lpstr>
      <vt:lpstr>branch!branch</vt:lpstr>
      <vt:lpstr>new_branch!branch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Clugston (Student)</dc:creator>
  <cp:lastModifiedBy>Joshua Clugston (Student)</cp:lastModifiedBy>
  <dcterms:created xsi:type="dcterms:W3CDTF">2024-11-11T07:40:40Z</dcterms:created>
  <dcterms:modified xsi:type="dcterms:W3CDTF">2024-12-05T19:14:04Z</dcterms:modified>
</cp:coreProperties>
</file>